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git repos\Supply-Chain-Analytics-Suite--Forecasting--Inventory-Optimization---Cost-Risk-Simulation\"/>
    </mc:Choice>
  </mc:AlternateContent>
  <xr:revisionPtr revIDLastSave="0" documentId="13_ncr:1_{AF297FFE-77F2-43C9-97E1-68D7A86D2AE8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Demand_2022" sheetId="1" r:id="rId1"/>
    <sheet name="Demand_2023" sheetId="2" r:id="rId2"/>
    <sheet name="Demand_2024" sheetId="3" r:id="rId3"/>
    <sheet name="Data Analysis" sheetId="5" r:id="rId4"/>
    <sheet name="Parameters &amp; Assumptions" sheetId="4" r:id="rId5"/>
    <sheet name="Inventory Management" sheetId="8" r:id="rId6"/>
    <sheet name="Resource Optimization" sheetId="10" r:id="rId7"/>
  </sheets>
  <definedNames>
    <definedName name="solver_adj" localSheetId="6" hidden="1">'Resource Optimization'!$K$9:$Q$10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'Resource Optimization'!$K$10:$Q$10</definedName>
    <definedName name="solver_lhs2" localSheetId="6" hidden="1">'Resource Optimization'!$K$14:$Q$14</definedName>
    <definedName name="solver_lhs3" localSheetId="6" hidden="1">'Resource Optimization'!$K$9:$Q$10</definedName>
    <definedName name="solver_lhs4" localSheetId="6" hidden="1">'Resource Optimization'!$K$9:$Q$9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4</definedName>
    <definedName name="solver_nwt" localSheetId="6" hidden="1">1</definedName>
    <definedName name="solver_opt" localSheetId="6" hidden="1">'Resource Optimization'!$K$25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3</definedName>
    <definedName name="solver_rel3" localSheetId="6" hidden="1">4</definedName>
    <definedName name="solver_rel4" localSheetId="6" hidden="1">1</definedName>
    <definedName name="solver_rhs1" localSheetId="6" hidden="1">'Resource Optimization'!$C$19</definedName>
    <definedName name="solver_rhs2" localSheetId="6" hidden="1">0</definedName>
    <definedName name="solver_rhs3" localSheetId="6" hidden="1">"integer"</definedName>
    <definedName name="solver_rhs4" localSheetId="6" hidden="1">'Resource Optimization'!$B$9:$H$9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10" l="1"/>
  <c r="L18" i="10" s="1"/>
  <c r="M8" i="10"/>
  <c r="N8" i="10"/>
  <c r="N18" i="10" s="1"/>
  <c r="O8" i="10"/>
  <c r="P8" i="10"/>
  <c r="Q8" i="10"/>
  <c r="Q11" i="10" s="1"/>
  <c r="K8" i="10"/>
  <c r="R8" i="10" s="1"/>
  <c r="L6" i="10"/>
  <c r="M6" i="10"/>
  <c r="N6" i="10"/>
  <c r="O6" i="10"/>
  <c r="P6" i="10"/>
  <c r="Q6" i="10"/>
  <c r="K6" i="10"/>
  <c r="M18" i="10"/>
  <c r="O18" i="10"/>
  <c r="P18" i="10"/>
  <c r="Q18" i="10"/>
  <c r="L19" i="10"/>
  <c r="M19" i="10"/>
  <c r="N19" i="10"/>
  <c r="O19" i="10"/>
  <c r="P19" i="10"/>
  <c r="Q19" i="10"/>
  <c r="L20" i="10"/>
  <c r="M20" i="10"/>
  <c r="N20" i="10"/>
  <c r="O20" i="10"/>
  <c r="P20" i="10"/>
  <c r="Q20" i="10"/>
  <c r="K22" i="10"/>
  <c r="K20" i="10"/>
  <c r="K19" i="10"/>
  <c r="K18" i="10"/>
  <c r="N11" i="10"/>
  <c r="R10" i="10"/>
  <c r="R9" i="10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" i="8"/>
  <c r="E31" i="8"/>
  <c r="E32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" i="8"/>
  <c r="B59" i="4"/>
  <c r="B60" i="4" s="1"/>
  <c r="B62" i="4" s="1"/>
  <c r="B54" i="4"/>
  <c r="B55" i="4" s="1"/>
  <c r="B29" i="4"/>
  <c r="E385" i="3"/>
  <c r="D385" i="3"/>
  <c r="C385" i="3"/>
  <c r="B385" i="3"/>
  <c r="E384" i="2"/>
  <c r="D384" i="2"/>
  <c r="C384" i="2"/>
  <c r="B384" i="2"/>
  <c r="E384" i="1"/>
  <c r="D384" i="1"/>
  <c r="C384" i="1"/>
  <c r="B384" i="1"/>
  <c r="D3" i="8"/>
  <c r="P11" i="10" l="1"/>
  <c r="O11" i="10"/>
  <c r="R6" i="10"/>
  <c r="K11" i="10"/>
  <c r="K14" i="10" s="1"/>
  <c r="R18" i="10"/>
  <c r="B56" i="4"/>
  <c r="B57" i="4" s="1"/>
  <c r="B58" i="4" s="1"/>
  <c r="B61" i="4"/>
  <c r="B63" i="4" s="1"/>
  <c r="B64" i="4" s="1"/>
  <c r="L11" i="10"/>
  <c r="L14" i="10" s="1"/>
  <c r="M13" i="10" s="1"/>
  <c r="M14" i="10" s="1"/>
  <c r="N13" i="10" s="1"/>
  <c r="R20" i="10"/>
  <c r="K15" i="10"/>
  <c r="R19" i="10"/>
  <c r="N14" i="10"/>
  <c r="F3" i="8"/>
  <c r="H3" i="8" s="1"/>
  <c r="N3" i="8" s="1"/>
  <c r="R11" i="10" l="1"/>
  <c r="M16" i="10"/>
  <c r="M22" i="10" s="1"/>
  <c r="L16" i="10"/>
  <c r="L22" i="10" s="1"/>
  <c r="L15" i="10"/>
  <c r="L21" i="10" s="1"/>
  <c r="L23" i="10" s="1"/>
  <c r="M15" i="10"/>
  <c r="M21" i="10" s="1"/>
  <c r="K21" i="10"/>
  <c r="O13" i="10"/>
  <c r="N16" i="10"/>
  <c r="N22" i="10" s="1"/>
  <c r="N15" i="10"/>
  <c r="N21" i="10" s="1"/>
  <c r="G3" i="8"/>
  <c r="M3" i="8" s="1"/>
  <c r="M23" i="10" l="1"/>
  <c r="N23" i="10"/>
  <c r="K23" i="10"/>
  <c r="O14" i="10"/>
  <c r="I3" i="8"/>
  <c r="J3" i="8" s="1"/>
  <c r="O3" i="8" s="1"/>
  <c r="B4" i="8"/>
  <c r="P13" i="10" l="1"/>
  <c r="O16" i="10"/>
  <c r="O15" i="10"/>
  <c r="P3" i="8"/>
  <c r="L3" i="8"/>
  <c r="C4" i="8" s="1"/>
  <c r="O21" i="10" l="1"/>
  <c r="P14" i="10"/>
  <c r="P15" i="10" s="1"/>
  <c r="P21" i="10" s="1"/>
  <c r="O22" i="10"/>
  <c r="D4" i="8"/>
  <c r="F4" i="8" s="1"/>
  <c r="Q13" i="10" l="1"/>
  <c r="P16" i="10"/>
  <c r="O23" i="10"/>
  <c r="I4" i="8"/>
  <c r="J4" i="8" s="1"/>
  <c r="H4" i="8"/>
  <c r="N4" i="8" s="1"/>
  <c r="G4" i="8"/>
  <c r="M4" i="8" s="1"/>
  <c r="P22" i="10" l="1"/>
  <c r="P23" i="10" s="1"/>
  <c r="Q14" i="10"/>
  <c r="Q15" i="10" s="1"/>
  <c r="R13" i="10"/>
  <c r="L4" i="8"/>
  <c r="C5" i="8" s="1"/>
  <c r="O4" i="8"/>
  <c r="P4" i="8" s="1"/>
  <c r="B5" i="8"/>
  <c r="Q21" i="10" l="1"/>
  <c r="R15" i="10"/>
  <c r="Q16" i="10"/>
  <c r="R14" i="10"/>
  <c r="D5" i="8"/>
  <c r="F5" i="8" s="1"/>
  <c r="G5" i="8" s="1"/>
  <c r="M5" i="8" s="1"/>
  <c r="R21" i="10" l="1"/>
  <c r="Q22" i="10"/>
  <c r="R22" i="10" s="1"/>
  <c r="R16" i="10"/>
  <c r="B6" i="8"/>
  <c r="I5" i="8"/>
  <c r="J5" i="8" s="1"/>
  <c r="H5" i="8"/>
  <c r="N5" i="8" s="1"/>
  <c r="R23" i="10" l="1"/>
  <c r="K25" i="10" s="1"/>
  <c r="Q23" i="10"/>
  <c r="L5" i="8"/>
  <c r="C6" i="8" s="1"/>
  <c r="D6" i="8" s="1"/>
  <c r="O5" i="8"/>
  <c r="P5" i="8" l="1"/>
  <c r="F6" i="8"/>
  <c r="G6" i="8" s="1"/>
  <c r="M6" i="8" s="1"/>
  <c r="B7" i="8" l="1"/>
  <c r="I6" i="8"/>
  <c r="H6" i="8"/>
  <c r="N6" i="8" s="1"/>
  <c r="J6" i="8" l="1"/>
  <c r="L6" i="8" l="1"/>
  <c r="C7" i="8" s="1"/>
  <c r="D7" i="8" s="1"/>
  <c r="O6" i="8"/>
  <c r="P6" i="8" l="1"/>
  <c r="F7" i="8"/>
  <c r="G7" i="8" s="1"/>
  <c r="M7" i="8" s="1"/>
  <c r="B8" i="8" l="1"/>
  <c r="H7" i="8"/>
  <c r="N7" i="8" s="1"/>
  <c r="I7" i="8"/>
  <c r="J7" i="8" l="1"/>
  <c r="L7" i="8" l="1"/>
  <c r="C8" i="8" s="1"/>
  <c r="D8" i="8" s="1"/>
  <c r="O7" i="8"/>
  <c r="P7" i="8" s="1"/>
  <c r="F8" i="8" l="1"/>
  <c r="G8" i="8" s="1"/>
  <c r="M8" i="8" s="1"/>
  <c r="B9" i="8" l="1"/>
  <c r="H8" i="8"/>
  <c r="N8" i="8" s="1"/>
  <c r="I8" i="8"/>
  <c r="J8" i="8" l="1"/>
  <c r="L8" i="8" l="1"/>
  <c r="C9" i="8" s="1"/>
  <c r="D9" i="8" s="1"/>
  <c r="O8" i="8"/>
  <c r="P8" i="8" s="1"/>
  <c r="F9" i="8" l="1"/>
  <c r="G9" i="8" s="1"/>
  <c r="M9" i="8" s="1"/>
  <c r="B10" i="8" l="1"/>
  <c r="H9" i="8"/>
  <c r="N9" i="8" s="1"/>
  <c r="I9" i="8"/>
  <c r="J9" i="8" l="1"/>
  <c r="L9" i="8" l="1"/>
  <c r="C10" i="8" s="1"/>
  <c r="D10" i="8" s="1"/>
  <c r="F10" i="8" s="1"/>
  <c r="G10" i="8" s="1"/>
  <c r="M10" i="8" s="1"/>
  <c r="O9" i="8"/>
  <c r="P9" i="8" s="1"/>
  <c r="B11" i="8" l="1"/>
  <c r="H10" i="8"/>
  <c r="N10" i="8" s="1"/>
  <c r="I10" i="8"/>
  <c r="J10" i="8" l="1"/>
  <c r="L10" i="8" l="1"/>
  <c r="C11" i="8" s="1"/>
  <c r="D11" i="8" s="1"/>
  <c r="F11" i="8" s="1"/>
  <c r="O10" i="8"/>
  <c r="P10" i="8" s="1"/>
  <c r="H11" i="8" l="1"/>
  <c r="N11" i="8" s="1"/>
  <c r="I11" i="8"/>
  <c r="G11" i="8"/>
  <c r="M11" i="8" s="1"/>
  <c r="B12" i="8" l="1"/>
  <c r="J11" i="8"/>
  <c r="L11" i="8" l="1"/>
  <c r="C12" i="8" s="1"/>
  <c r="D12" i="8" s="1"/>
  <c r="F12" i="8" s="1"/>
  <c r="G12" i="8" s="1"/>
  <c r="M12" i="8" s="1"/>
  <c r="O11" i="8"/>
  <c r="P11" i="8" s="1"/>
  <c r="B13" i="8" l="1"/>
  <c r="H12" i="8"/>
  <c r="N12" i="8" s="1"/>
  <c r="I12" i="8"/>
  <c r="J12" i="8" l="1"/>
  <c r="L12" i="8" l="1"/>
  <c r="C13" i="8" s="1"/>
  <c r="D13" i="8" s="1"/>
  <c r="F13" i="8" s="1"/>
  <c r="G13" i="8" s="1"/>
  <c r="M13" i="8" s="1"/>
  <c r="O12" i="8"/>
  <c r="P12" i="8" s="1"/>
  <c r="B14" i="8" l="1"/>
  <c r="H13" i="8"/>
  <c r="N13" i="8" s="1"/>
  <c r="I13" i="8"/>
  <c r="J13" i="8" l="1"/>
  <c r="L13" i="8" l="1"/>
  <c r="C14" i="8" s="1"/>
  <c r="D14" i="8" s="1"/>
  <c r="F14" i="8" s="1"/>
  <c r="G14" i="8" s="1"/>
  <c r="M14" i="8" s="1"/>
  <c r="O13" i="8"/>
  <c r="P13" i="8" s="1"/>
  <c r="B15" i="8" l="1"/>
  <c r="H14" i="8"/>
  <c r="N14" i="8" s="1"/>
  <c r="I14" i="8"/>
  <c r="J14" i="8" l="1"/>
  <c r="L14" i="8" l="1"/>
  <c r="C15" i="8" s="1"/>
  <c r="D15" i="8" s="1"/>
  <c r="F15" i="8" s="1"/>
  <c r="G15" i="8" s="1"/>
  <c r="M15" i="8" s="1"/>
  <c r="O14" i="8"/>
  <c r="P14" i="8" s="1"/>
  <c r="B16" i="8" l="1"/>
  <c r="H15" i="8"/>
  <c r="N15" i="8" s="1"/>
  <c r="I15" i="8"/>
  <c r="J15" i="8" l="1"/>
  <c r="L15" i="8" l="1"/>
  <c r="C16" i="8" s="1"/>
  <c r="D16" i="8" s="1"/>
  <c r="F16" i="8" s="1"/>
  <c r="O15" i="8"/>
  <c r="P15" i="8" s="1"/>
  <c r="H16" i="8" l="1"/>
  <c r="N16" i="8" s="1"/>
  <c r="I16" i="8"/>
  <c r="G16" i="8"/>
  <c r="M16" i="8" s="1"/>
  <c r="B17" i="8" l="1"/>
  <c r="J16" i="8"/>
  <c r="L16" i="8" l="1"/>
  <c r="C17" i="8" s="1"/>
  <c r="D17" i="8" s="1"/>
  <c r="F17" i="8" s="1"/>
  <c r="G17" i="8" s="1"/>
  <c r="M17" i="8" s="1"/>
  <c r="O16" i="8"/>
  <c r="P16" i="8" s="1"/>
  <c r="B18" i="8" l="1"/>
  <c r="H17" i="8"/>
  <c r="N17" i="8" s="1"/>
  <c r="I17" i="8"/>
  <c r="J17" i="8" l="1"/>
  <c r="L17" i="8" l="1"/>
  <c r="C18" i="8" s="1"/>
  <c r="D18" i="8" s="1"/>
  <c r="F18" i="8" s="1"/>
  <c r="G18" i="8" s="1"/>
  <c r="M18" i="8" s="1"/>
  <c r="O17" i="8"/>
  <c r="P17" i="8" s="1"/>
  <c r="B19" i="8" l="1"/>
  <c r="H18" i="8"/>
  <c r="N18" i="8" s="1"/>
  <c r="I18" i="8"/>
  <c r="J18" i="8" l="1"/>
  <c r="L18" i="8" l="1"/>
  <c r="C19" i="8" s="1"/>
  <c r="D19" i="8" s="1"/>
  <c r="F19" i="8" s="1"/>
  <c r="G19" i="8" s="1"/>
  <c r="M19" i="8" s="1"/>
  <c r="O18" i="8"/>
  <c r="P18" i="8" s="1"/>
  <c r="B20" i="8" l="1"/>
  <c r="H19" i="8"/>
  <c r="N19" i="8" s="1"/>
  <c r="I19" i="8"/>
  <c r="J19" i="8" l="1"/>
  <c r="L19" i="8" l="1"/>
  <c r="C20" i="8" s="1"/>
  <c r="D20" i="8" s="1"/>
  <c r="F20" i="8" s="1"/>
  <c r="O19" i="8"/>
  <c r="P19" i="8" s="1"/>
  <c r="H20" i="8" l="1"/>
  <c r="N20" i="8" s="1"/>
  <c r="I20" i="8"/>
  <c r="G20" i="8"/>
  <c r="M20" i="8" s="1"/>
  <c r="B21" i="8" l="1"/>
  <c r="J20" i="8"/>
  <c r="L20" i="8" l="1"/>
  <c r="C21" i="8" s="1"/>
  <c r="D21" i="8" s="1"/>
  <c r="F21" i="8" s="1"/>
  <c r="G21" i="8" s="1"/>
  <c r="M21" i="8" s="1"/>
  <c r="O20" i="8"/>
  <c r="P20" i="8" s="1"/>
  <c r="B22" i="8" l="1"/>
  <c r="H21" i="8"/>
  <c r="N21" i="8" s="1"/>
  <c r="I21" i="8"/>
  <c r="J21" i="8" l="1"/>
  <c r="L21" i="8" l="1"/>
  <c r="C22" i="8" s="1"/>
  <c r="D22" i="8" s="1"/>
  <c r="F22" i="8" s="1"/>
  <c r="G22" i="8" s="1"/>
  <c r="M22" i="8" s="1"/>
  <c r="O21" i="8"/>
  <c r="P21" i="8" s="1"/>
  <c r="B23" i="8" l="1"/>
  <c r="H22" i="8"/>
  <c r="N22" i="8" s="1"/>
  <c r="I22" i="8"/>
  <c r="J22" i="8" l="1"/>
  <c r="L22" i="8" l="1"/>
  <c r="C23" i="8" s="1"/>
  <c r="D23" i="8" s="1"/>
  <c r="F23" i="8" s="1"/>
  <c r="G23" i="8" s="1"/>
  <c r="M23" i="8" s="1"/>
  <c r="O22" i="8"/>
  <c r="P22" i="8" s="1"/>
  <c r="B24" i="8" l="1"/>
  <c r="H23" i="8"/>
  <c r="N23" i="8" s="1"/>
  <c r="I23" i="8"/>
  <c r="J23" i="8" l="1"/>
  <c r="L23" i="8" l="1"/>
  <c r="C24" i="8" s="1"/>
  <c r="D24" i="8" s="1"/>
  <c r="F24" i="8" s="1"/>
  <c r="G24" i="8" s="1"/>
  <c r="M24" i="8" s="1"/>
  <c r="O23" i="8"/>
  <c r="P23" i="8" s="1"/>
  <c r="B25" i="8" l="1"/>
  <c r="H24" i="8"/>
  <c r="N24" i="8" s="1"/>
  <c r="I24" i="8"/>
  <c r="J24" i="8" l="1"/>
  <c r="L24" i="8" l="1"/>
  <c r="C25" i="8" s="1"/>
  <c r="D25" i="8" s="1"/>
  <c r="F25" i="8" s="1"/>
  <c r="G25" i="8" s="1"/>
  <c r="M25" i="8" s="1"/>
  <c r="O24" i="8"/>
  <c r="P24" i="8" s="1"/>
  <c r="B26" i="8" l="1"/>
  <c r="H25" i="8"/>
  <c r="N25" i="8" s="1"/>
  <c r="I25" i="8"/>
  <c r="J25" i="8" l="1"/>
  <c r="L25" i="8" l="1"/>
  <c r="C26" i="8" s="1"/>
  <c r="D26" i="8" s="1"/>
  <c r="F26" i="8" s="1"/>
  <c r="G26" i="8" s="1"/>
  <c r="M26" i="8" s="1"/>
  <c r="O25" i="8"/>
  <c r="P25" i="8" s="1"/>
  <c r="B27" i="8" l="1"/>
  <c r="H26" i="8"/>
  <c r="N26" i="8" s="1"/>
  <c r="I26" i="8"/>
  <c r="J26" i="8" l="1"/>
  <c r="L26" i="8" l="1"/>
  <c r="C27" i="8" s="1"/>
  <c r="D27" i="8" s="1"/>
  <c r="F27" i="8" s="1"/>
  <c r="G27" i="8" s="1"/>
  <c r="M27" i="8" s="1"/>
  <c r="O26" i="8"/>
  <c r="P26" i="8" s="1"/>
  <c r="B28" i="8" l="1"/>
  <c r="H27" i="8"/>
  <c r="N27" i="8" s="1"/>
  <c r="I27" i="8"/>
  <c r="J27" i="8" l="1"/>
  <c r="L27" i="8" l="1"/>
  <c r="C28" i="8" s="1"/>
  <c r="D28" i="8" s="1"/>
  <c r="F28" i="8" s="1"/>
  <c r="G28" i="8" s="1"/>
  <c r="M28" i="8" s="1"/>
  <c r="O27" i="8"/>
  <c r="P27" i="8" s="1"/>
  <c r="B29" i="8" l="1"/>
  <c r="H28" i="8"/>
  <c r="N28" i="8" s="1"/>
  <c r="I28" i="8"/>
  <c r="J28" i="8" l="1"/>
  <c r="L28" i="8" l="1"/>
  <c r="C29" i="8" s="1"/>
  <c r="D29" i="8" s="1"/>
  <c r="F29" i="8" s="1"/>
  <c r="G29" i="8" s="1"/>
  <c r="M29" i="8" s="1"/>
  <c r="O28" i="8"/>
  <c r="P28" i="8" s="1"/>
  <c r="B30" i="8" l="1"/>
  <c r="H29" i="8"/>
  <c r="N29" i="8" s="1"/>
  <c r="I29" i="8"/>
  <c r="J29" i="8" l="1"/>
  <c r="L29" i="8" l="1"/>
  <c r="C30" i="8" s="1"/>
  <c r="D30" i="8" s="1"/>
  <c r="F30" i="8" s="1"/>
  <c r="G30" i="8" s="1"/>
  <c r="M30" i="8" s="1"/>
  <c r="O29" i="8"/>
  <c r="P29" i="8" s="1"/>
  <c r="B31" i="8" l="1"/>
  <c r="H30" i="8"/>
  <c r="N30" i="8" s="1"/>
  <c r="I30" i="8"/>
  <c r="J30" i="8" l="1"/>
  <c r="L30" i="8" l="1"/>
  <c r="C31" i="8" s="1"/>
  <c r="D31" i="8" s="1"/>
  <c r="F31" i="8" s="1"/>
  <c r="G31" i="8" s="1"/>
  <c r="M31" i="8" s="1"/>
  <c r="O30" i="8"/>
  <c r="P30" i="8" s="1"/>
  <c r="B32" i="8" l="1"/>
  <c r="H31" i="8"/>
  <c r="N31" i="8" s="1"/>
  <c r="I31" i="8"/>
  <c r="J31" i="8" l="1"/>
  <c r="L31" i="8" l="1"/>
  <c r="C32" i="8" s="1"/>
  <c r="D32" i="8" s="1"/>
  <c r="F32" i="8" s="1"/>
  <c r="G32" i="8" s="1"/>
  <c r="M32" i="8" s="1"/>
  <c r="M33" i="8" s="1"/>
  <c r="Y2" i="8" s="1"/>
  <c r="R31" i="8" s="1"/>
  <c r="O31" i="8"/>
  <c r="P31" i="8" s="1"/>
  <c r="H32" i="8" l="1"/>
  <c r="N32" i="8" s="1"/>
  <c r="N33" i="8" s="1"/>
  <c r="Z2" i="8" s="1"/>
  <c r="S31" i="8" s="1"/>
  <c r="I32" i="8"/>
  <c r="J32" i="8" s="1"/>
  <c r="L32" i="8" l="1"/>
  <c r="O32" i="8"/>
  <c r="P32" i="8" l="1"/>
  <c r="P33" i="8" s="1"/>
  <c r="AB2" i="8" s="1"/>
  <c r="U31" i="8" s="1"/>
  <c r="O33" i="8"/>
  <c r="AA2" i="8" s="1"/>
  <c r="T31" i="8" s="1"/>
</calcChain>
</file>

<file path=xl/sharedStrings.xml><?xml version="1.0" encoding="utf-8"?>
<sst xmlns="http://schemas.openxmlformats.org/spreadsheetml/2006/main" count="4695" uniqueCount="1324">
  <si>
    <t>Historical Demand Data — 2022</t>
  </si>
  <si>
    <t>Date</t>
  </si>
  <si>
    <t>Day of Week</t>
  </si>
  <si>
    <t>Week #</t>
  </si>
  <si>
    <t>Month</t>
  </si>
  <si>
    <t>Quarter</t>
  </si>
  <si>
    <t>Daily Demand (Units)</t>
  </si>
  <si>
    <t>Notes</t>
  </si>
  <si>
    <t>2022-01-01</t>
  </si>
  <si>
    <t>Saturday</t>
  </si>
  <si>
    <t>January</t>
  </si>
  <si>
    <t>Q1</t>
  </si>
  <si>
    <t>2022-01-02</t>
  </si>
  <si>
    <t>Sunday</t>
  </si>
  <si>
    <t>2022-01-03</t>
  </si>
  <si>
    <t>Monday</t>
  </si>
  <si>
    <t>2022-01-04</t>
  </si>
  <si>
    <t>Tuesday</t>
  </si>
  <si>
    <t>2022-01-05</t>
  </si>
  <si>
    <t>Wednesday</t>
  </si>
  <si>
    <t>2022-01-06</t>
  </si>
  <si>
    <t>Thursday</t>
  </si>
  <si>
    <t>2022-01-07</t>
  </si>
  <si>
    <t>Friday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</si>
  <si>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</si>
  <si>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</si>
  <si>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</si>
  <si>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</si>
  <si>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</si>
  <si>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</si>
  <si>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</si>
  <si>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</si>
  <si>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</si>
  <si>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</si>
  <si>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</si>
  <si>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</si>
  <si>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</si>
  <si>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</si>
  <si>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</si>
  <si>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</si>
  <si>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</si>
  <si>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</si>
  <si>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</si>
  <si>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</si>
  <si>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</si>
  <si>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</si>
  <si>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</si>
  <si>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</si>
  <si>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</si>
  <si>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February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</si>
  <si>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</si>
  <si>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</si>
  <si>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</si>
  <si>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</si>
  <si>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</si>
  <si>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</si>
  <si>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</si>
  <si>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</si>
  <si>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</si>
  <si>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</si>
  <si>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</si>
  <si>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</si>
  <si>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</si>
  <si>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</si>
  <si>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</si>
  <si>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</si>
  <si>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</si>
  <si>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</si>
  <si>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</si>
  <si>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</si>
  <si>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</si>
  <si>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</si>
  <si>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</si>
  <si>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</si>
  <si>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</si>
  <si>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</si>
  <si>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</si>
  <si>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</si>
  <si>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March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</si>
  <si>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</si>
  <si>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</si>
  <si>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</si>
  <si>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</si>
  <si>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</si>
  <si>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</si>
  <si>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</si>
  <si>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</si>
  <si>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</si>
  <si>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</si>
  <si>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</si>
  <si>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</si>
  <si>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</si>
  <si>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</si>
  <si>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</si>
  <si>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</si>
  <si>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</si>
  <si>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</si>
  <si>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</si>
  <si>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</si>
  <si>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</si>
  <si>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</si>
  <si>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</si>
  <si>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</si>
  <si>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</si>
  <si>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</si>
  <si>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</si>
  <si>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</si>
  <si>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</si>
  <si>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</si>
  <si>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</si>
  <si>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April</t>
  </si>
  <si>
    <t>Q2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</si>
  <si>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</si>
  <si>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</si>
  <si>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</si>
  <si>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</si>
  <si>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</si>
  <si>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</si>
  <si>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</si>
  <si>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</si>
  <si>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</si>
  <si>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</si>
  <si>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</si>
  <si>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</si>
  <si>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</si>
  <si>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</si>
  <si>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</si>
  <si>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</si>
  <si>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</si>
  <si>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</si>
  <si>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</si>
  <si>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</si>
  <si>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</si>
  <si>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</si>
  <si>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</si>
  <si>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</si>
  <si>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</si>
  <si>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</si>
  <si>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</si>
  <si>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</si>
  <si>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</si>
  <si>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</si>
  <si>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May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</si>
  <si>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</si>
  <si>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</si>
  <si>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</si>
  <si>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</si>
  <si>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</si>
  <si>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</si>
  <si>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</si>
  <si>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</si>
  <si>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</si>
  <si>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</si>
  <si>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</si>
  <si>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</si>
  <si>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</si>
  <si>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</si>
  <si>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</si>
  <si>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</si>
  <si>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</si>
  <si>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</si>
  <si>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</si>
  <si>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</si>
  <si>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</si>
  <si>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</si>
  <si>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</si>
  <si>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</si>
  <si>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</si>
  <si>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</si>
  <si>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</si>
  <si>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</si>
  <si>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</si>
  <si>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</si>
  <si>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</si>
  <si>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June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</si>
  <si>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</si>
  <si>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</si>
  <si>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</si>
  <si>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</si>
  <si>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</si>
  <si>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</si>
  <si>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</si>
  <si>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</si>
  <si>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</si>
  <si>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</si>
  <si>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</si>
  <si>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</si>
  <si>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</si>
  <si>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</si>
  <si>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</si>
  <si>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</si>
  <si>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</si>
  <si>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</si>
  <si>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</si>
  <si>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</si>
  <si>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</si>
  <si>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</si>
  <si>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</si>
  <si>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</si>
  <si>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</si>
  <si>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</si>
  <si>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</si>
  <si>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</si>
  <si>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</si>
  <si>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</si>
  <si>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July</t>
  </si>
  <si>
    <t>Q3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</si>
  <si>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</si>
  <si>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</si>
  <si>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</si>
  <si>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</si>
  <si>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</si>
  <si>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</si>
  <si>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</si>
  <si>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</si>
  <si>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</si>
  <si>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</si>
  <si>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</si>
  <si>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</si>
  <si>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</si>
  <si>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</si>
  <si>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</si>
  <si>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</si>
  <si>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</si>
  <si>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</si>
  <si>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</si>
  <si>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</si>
  <si>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</si>
  <si>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</si>
  <si>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</si>
  <si>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</si>
  <si>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</si>
  <si>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</si>
  <si>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</si>
  <si>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</si>
  <si>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</si>
  <si>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</si>
  <si>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</si>
  <si>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August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</si>
  <si>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</si>
  <si>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</si>
  <si>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</si>
  <si>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</si>
  <si>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</si>
  <si>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</si>
  <si>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</si>
  <si>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</si>
  <si>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</si>
  <si>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</si>
  <si>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</si>
  <si>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</si>
  <si>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</si>
  <si>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</si>
  <si>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</si>
  <si>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</si>
  <si>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</si>
  <si>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</si>
  <si>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</si>
  <si>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</si>
  <si>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</si>
  <si>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</si>
  <si>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</si>
  <si>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</si>
  <si>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</si>
  <si>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</si>
  <si>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</si>
  <si>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</si>
  <si>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</si>
  <si>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</si>
  <si>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</si>
  <si>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September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</si>
  <si>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</si>
  <si>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</si>
  <si>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</si>
  <si>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</si>
  <si>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</si>
  <si>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</si>
  <si>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</si>
  <si>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</si>
  <si>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</si>
  <si>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</si>
  <si>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</si>
  <si>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</si>
  <si>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</si>
  <si>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</si>
  <si>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</si>
  <si>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</si>
  <si>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</si>
  <si>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</si>
  <si>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</si>
  <si>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</si>
  <si>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</si>
  <si>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</si>
  <si>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</si>
  <si>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</si>
  <si>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</si>
  <si>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</si>
  <si>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</si>
  <si>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</si>
  <si>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</si>
  <si>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</si>
  <si>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October</t>
  </si>
  <si>
    <t>Q4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</si>
  <si>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</si>
  <si>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</si>
  <si>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</si>
  <si>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</si>
  <si>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</si>
  <si>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</si>
  <si>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</si>
  <si>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</si>
  <si>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</si>
  <si>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</si>
  <si>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</si>
  <si>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</si>
  <si>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</si>
  <si>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</si>
  <si>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</si>
  <si>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</si>
  <si>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</si>
  <si>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</si>
  <si>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</si>
  <si>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</si>
  <si>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</si>
  <si>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</si>
  <si>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</si>
  <si>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</si>
  <si>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</si>
  <si>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</si>
  <si>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</si>
  <si>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</si>
  <si>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</si>
  <si>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</si>
  <si>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</si>
  <si>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November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</si>
  <si>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</si>
  <si>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</si>
  <si>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</si>
  <si>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</si>
  <si>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</si>
  <si>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</si>
  <si>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</si>
  <si>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</si>
  <si>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</si>
  <si>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</si>
  <si>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</si>
  <si>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</si>
  <si>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</si>
  <si>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</si>
  <si>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</si>
  <si>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</si>
  <si>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</si>
  <si>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</si>
  <si>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</si>
  <si>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</si>
  <si>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</si>
  <si>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</si>
  <si>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</si>
  <si>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</si>
  <si>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</si>
  <si>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</si>
  <si>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</si>
  <si>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</si>
  <si>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</si>
  <si>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</si>
  <si>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December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</si>
  <si>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</si>
  <si>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</si>
  <si>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</si>
  <si>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</si>
  <si>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</si>
  <si>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</si>
  <si>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</si>
  <si>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</si>
  <si>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</si>
  <si>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</si>
  <si>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</si>
  <si>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</si>
  <si>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</si>
  <si>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</si>
  <si>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</si>
  <si>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</si>
  <si>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</si>
  <si>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</si>
  <si>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</si>
  <si>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</si>
  <si>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</si>
  <si>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</si>
  <si>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</si>
  <si>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</si>
  <si>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</si>
  <si>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</si>
  <si>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</si>
  <si>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</si>
  <si>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</si>
  <si>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</si>
  <si>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Monthly Summary — 2022</t>
  </si>
  <si>
    <t>Total Demand</t>
  </si>
  <si>
    <t>Avg Daily Demand</t>
  </si>
  <si>
    <t>Min Daily</t>
  </si>
  <si>
    <t>Max Daily</t>
  </si>
  <si>
    <t>Std Dev</t>
  </si>
  <si>
    <t>ANNUAL TOTAL / AVG</t>
  </si>
  <si>
    <t>Historical Demand Data — 2023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</si>
  <si>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</si>
  <si>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</si>
  <si>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</si>
  <si>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</si>
  <si>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</si>
  <si>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</si>
  <si>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</si>
  <si>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</si>
  <si>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</si>
  <si>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</si>
  <si>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</si>
  <si>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</si>
  <si>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</si>
  <si>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</si>
  <si>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</si>
  <si>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</si>
  <si>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</si>
  <si>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</si>
  <si>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</si>
  <si>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</si>
  <si>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</si>
  <si>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</si>
  <si>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</si>
  <si>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</si>
  <si>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</si>
  <si>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</si>
  <si>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</si>
  <si>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</si>
  <si>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</si>
  <si>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</si>
  <si>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</si>
  <si>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</si>
  <si>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</si>
  <si>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</si>
  <si>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</si>
  <si>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</si>
  <si>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</si>
  <si>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</si>
  <si>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</si>
  <si>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</si>
  <si>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</si>
  <si>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</si>
  <si>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</si>
  <si>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</si>
  <si>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</si>
  <si>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</si>
  <si>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</si>
  <si>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</si>
  <si>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</si>
  <si>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</si>
  <si>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</si>
  <si>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</si>
  <si>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</si>
  <si>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</si>
  <si>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</si>
  <si>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</si>
  <si>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</si>
  <si>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</si>
  <si>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</si>
  <si>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</si>
  <si>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</si>
  <si>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</si>
  <si>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</si>
  <si>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</si>
  <si>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</si>
  <si>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</si>
  <si>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</si>
  <si>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</si>
  <si>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</si>
  <si>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</si>
  <si>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</si>
  <si>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</si>
  <si>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</si>
  <si>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</si>
  <si>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</si>
  <si>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</si>
  <si>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</si>
  <si>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</si>
  <si>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</si>
  <si>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</si>
  <si>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</si>
  <si>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</si>
  <si>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</si>
  <si>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</si>
  <si>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</si>
  <si>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</si>
  <si>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</si>
  <si>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</si>
  <si>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</si>
  <si>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</si>
  <si>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</si>
  <si>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</si>
  <si>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</si>
  <si>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</si>
  <si>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</si>
  <si>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</si>
  <si>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</si>
  <si>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</si>
  <si>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</si>
  <si>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</si>
  <si>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</si>
  <si>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</si>
  <si>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</si>
  <si>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</si>
  <si>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</si>
  <si>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</si>
  <si>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</si>
  <si>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</si>
  <si>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</si>
  <si>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</si>
  <si>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</si>
  <si>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</si>
  <si>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</si>
  <si>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</si>
  <si>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</si>
  <si>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</si>
  <si>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</si>
  <si>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</si>
  <si>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</si>
  <si>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</si>
  <si>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</si>
  <si>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</si>
  <si>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</si>
  <si>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</si>
  <si>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</si>
  <si>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</si>
  <si>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</si>
  <si>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</si>
  <si>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</si>
  <si>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</si>
  <si>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</si>
  <si>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</si>
  <si>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</si>
  <si>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</si>
  <si>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</si>
  <si>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</si>
  <si>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</si>
  <si>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</si>
  <si>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</si>
  <si>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</si>
  <si>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</si>
  <si>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</si>
  <si>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</si>
  <si>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</si>
  <si>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</si>
  <si>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</si>
  <si>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</si>
  <si>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</si>
  <si>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</si>
  <si>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</si>
  <si>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</si>
  <si>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</si>
  <si>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</si>
  <si>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</si>
  <si>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</si>
  <si>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</si>
  <si>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</si>
  <si>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</si>
  <si>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</si>
  <si>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</si>
  <si>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</si>
  <si>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</si>
  <si>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</si>
  <si>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</si>
  <si>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</si>
  <si>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</si>
  <si>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</si>
  <si>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</si>
  <si>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</si>
  <si>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</si>
  <si>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</si>
  <si>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</si>
  <si>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</si>
  <si>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</si>
  <si>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</si>
  <si>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</si>
  <si>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</si>
  <si>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</si>
  <si>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</si>
  <si>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</si>
  <si>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</si>
  <si>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</si>
  <si>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</si>
  <si>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</si>
  <si>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</si>
  <si>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</si>
  <si>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</si>
  <si>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</si>
  <si>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</si>
  <si>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</si>
  <si>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</si>
  <si>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</si>
  <si>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</si>
  <si>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</si>
  <si>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</si>
  <si>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</si>
  <si>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</si>
  <si>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</si>
  <si>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</si>
  <si>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</si>
  <si>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</si>
  <si>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</si>
  <si>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</si>
  <si>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</si>
  <si>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</si>
  <si>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</si>
  <si>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</si>
  <si>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</si>
  <si>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</si>
  <si>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</si>
  <si>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</si>
  <si>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</si>
  <si>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</si>
  <si>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</si>
  <si>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</si>
  <si>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</si>
  <si>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</si>
  <si>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</si>
  <si>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</si>
  <si>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</si>
  <si>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</si>
  <si>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</si>
  <si>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</si>
  <si>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</si>
  <si>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</si>
  <si>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</si>
  <si>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</si>
  <si>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</si>
  <si>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</si>
  <si>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</si>
  <si>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</si>
  <si>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</si>
  <si>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</si>
  <si>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</si>
  <si>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</si>
  <si>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</si>
  <si>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</si>
  <si>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</si>
  <si>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</si>
  <si>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</si>
  <si>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</si>
  <si>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</si>
  <si>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</si>
  <si>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</si>
  <si>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</si>
  <si>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</si>
  <si>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</si>
  <si>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</si>
  <si>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</si>
  <si>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</si>
  <si>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</si>
  <si>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</si>
  <si>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</si>
  <si>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</si>
  <si>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</si>
  <si>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</si>
  <si>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</si>
  <si>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</si>
  <si>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</si>
  <si>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</si>
  <si>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</si>
  <si>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</si>
  <si>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</si>
  <si>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</si>
  <si>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</si>
  <si>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</si>
  <si>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</si>
  <si>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</si>
  <si>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</si>
  <si>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</si>
  <si>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</si>
  <si>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</si>
  <si>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</si>
  <si>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</si>
  <si>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</si>
  <si>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</si>
  <si>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</si>
  <si>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</si>
  <si>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</si>
  <si>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</si>
  <si>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</si>
  <si>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</si>
  <si>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</si>
  <si>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</si>
  <si>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</si>
  <si>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</si>
  <si>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</si>
  <si>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</si>
  <si>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</si>
  <si>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</si>
  <si>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</si>
  <si>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</si>
  <si>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</si>
  <si>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</si>
  <si>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</si>
  <si>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</si>
  <si>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</si>
  <si>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</si>
  <si>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</si>
  <si>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</si>
  <si>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</si>
  <si>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</si>
  <si>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</si>
  <si>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</si>
  <si>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</si>
  <si>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</si>
  <si>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</si>
  <si>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</si>
  <si>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</si>
  <si>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</si>
  <si>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</si>
  <si>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</si>
  <si>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</si>
  <si>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</si>
  <si>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</si>
  <si>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</si>
  <si>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</si>
  <si>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</si>
  <si>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</si>
  <si>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</si>
  <si>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</si>
  <si>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</si>
  <si>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</si>
  <si>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</si>
  <si>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</si>
  <si>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</si>
  <si>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</si>
  <si>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</si>
  <si>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</si>
  <si>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</si>
  <si>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</si>
  <si>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</si>
  <si>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</si>
  <si>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</si>
  <si>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</si>
  <si>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</si>
  <si>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</si>
  <si>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</si>
  <si>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</si>
  <si>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</si>
  <si>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</si>
  <si>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</si>
  <si>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</si>
  <si>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</si>
  <si>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</si>
  <si>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</si>
  <si>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</si>
  <si>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</si>
  <si>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</si>
  <si>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</si>
  <si>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</si>
  <si>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</si>
  <si>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</si>
  <si>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</si>
  <si>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</si>
  <si>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</si>
  <si>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</si>
  <si>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</si>
  <si>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</si>
  <si>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</si>
  <si>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</si>
  <si>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</si>
  <si>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</si>
  <si>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</si>
  <si>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</si>
  <si>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Monthly Summary — 2023</t>
  </si>
  <si>
    <t>Historical Demand Data — 2024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</si>
  <si>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</si>
  <si>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</si>
  <si>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</si>
  <si>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</si>
  <si>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</si>
  <si>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</si>
  <si>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</si>
  <si>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</si>
  <si>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</si>
  <si>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</si>
  <si>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</si>
  <si>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</si>
  <si>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</si>
  <si>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</si>
  <si>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</si>
  <si>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</si>
  <si>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</si>
  <si>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</si>
  <si>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</si>
  <si>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</si>
  <si>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</si>
  <si>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</si>
  <si>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</si>
  <si>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</si>
  <si>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</si>
  <si>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</si>
  <si>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</si>
  <si>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</si>
  <si>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</si>
  <si>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</si>
  <si>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</si>
  <si>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</si>
  <si>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</si>
  <si>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</si>
  <si>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</si>
  <si>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</si>
  <si>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</si>
  <si>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</si>
  <si>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</si>
  <si>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</si>
  <si>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</si>
  <si>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</si>
  <si>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</si>
  <si>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</si>
  <si>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</si>
  <si>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</si>
  <si>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</si>
  <si>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</si>
  <si>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</si>
  <si>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</si>
  <si>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</si>
  <si>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</si>
  <si>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</si>
  <si>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</si>
  <si>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</si>
  <si>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</si>
  <si>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</si>
  <si>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</si>
  <si>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</si>
  <si>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</si>
  <si>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</si>
  <si>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</si>
  <si>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</si>
  <si>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</si>
  <si>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</si>
  <si>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</si>
  <si>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</si>
  <si>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</si>
  <si>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</si>
  <si>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</si>
  <si>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</si>
  <si>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</si>
  <si>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</si>
  <si>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</si>
  <si>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</si>
  <si>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</si>
  <si>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</si>
  <si>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</si>
  <si>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</si>
  <si>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</si>
  <si>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</si>
  <si>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</si>
  <si>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</si>
  <si>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</si>
  <si>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</si>
  <si>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</si>
  <si>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</si>
  <si>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</si>
  <si>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</si>
  <si>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</si>
  <si>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</si>
  <si>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</si>
  <si>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</si>
  <si>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</si>
  <si>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</si>
  <si>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</si>
  <si>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</si>
  <si>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</si>
  <si>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</si>
  <si>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</si>
  <si>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</si>
  <si>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</si>
  <si>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</si>
  <si>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</si>
  <si>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</si>
  <si>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</si>
  <si>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</si>
  <si>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</si>
  <si>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</si>
  <si>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</si>
  <si>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</si>
  <si>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</si>
  <si>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</si>
  <si>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</si>
  <si>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</si>
  <si>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</si>
  <si>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</si>
  <si>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</si>
  <si>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</si>
  <si>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</si>
  <si>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</si>
  <si>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</si>
  <si>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</si>
  <si>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</si>
  <si>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</si>
  <si>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</si>
  <si>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</si>
  <si>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</si>
  <si>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</si>
  <si>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</si>
  <si>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</si>
  <si>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</si>
  <si>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</si>
  <si>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</si>
  <si>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</si>
  <si>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</si>
  <si>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</si>
  <si>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</si>
  <si>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</si>
  <si>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</si>
  <si>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</si>
  <si>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</si>
  <si>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</si>
  <si>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</si>
  <si>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</si>
  <si>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</si>
  <si>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</si>
  <si>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</si>
  <si>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</si>
  <si>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</si>
  <si>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</si>
  <si>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</si>
  <si>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</si>
  <si>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</si>
  <si>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</si>
  <si>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</si>
  <si>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</si>
  <si>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</si>
  <si>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</si>
  <si>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</si>
  <si>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</si>
  <si>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</si>
  <si>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</si>
  <si>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</si>
  <si>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</si>
  <si>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</si>
  <si>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</si>
  <si>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</si>
  <si>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</si>
  <si>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</si>
  <si>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</si>
  <si>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</si>
  <si>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</si>
  <si>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</si>
  <si>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</si>
  <si>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</si>
  <si>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</si>
  <si>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</si>
  <si>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</si>
  <si>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</si>
  <si>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</si>
  <si>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</si>
  <si>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</si>
  <si>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</si>
  <si>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</si>
  <si>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</si>
  <si>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</si>
  <si>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</si>
  <si>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</si>
  <si>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</si>
  <si>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</si>
  <si>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</si>
  <si>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</si>
  <si>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</si>
  <si>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</si>
  <si>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</si>
  <si>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</si>
  <si>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</si>
  <si>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</si>
  <si>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</si>
  <si>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</si>
  <si>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</si>
  <si>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</si>
  <si>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</si>
  <si>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</si>
  <si>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</si>
  <si>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</si>
  <si>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</si>
  <si>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</si>
  <si>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</si>
  <si>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</si>
  <si>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</si>
  <si>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</si>
  <si>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</si>
  <si>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</si>
  <si>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</si>
  <si>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</si>
  <si>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</si>
  <si>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</si>
  <si>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</si>
  <si>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</si>
  <si>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</si>
  <si>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</si>
  <si>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</si>
  <si>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</si>
  <si>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</si>
  <si>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</si>
  <si>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</si>
  <si>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</si>
  <si>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</si>
  <si>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</si>
  <si>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</si>
  <si>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</si>
  <si>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</si>
  <si>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</si>
  <si>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</si>
  <si>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</si>
  <si>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</si>
  <si>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</si>
  <si>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</si>
  <si>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</si>
  <si>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</si>
  <si>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</si>
  <si>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</si>
  <si>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</si>
  <si>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</si>
  <si>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</si>
  <si>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</si>
  <si>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</si>
  <si>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</si>
  <si>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</si>
  <si>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</si>
  <si>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</si>
  <si>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</si>
  <si>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</si>
  <si>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</si>
  <si>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</si>
  <si>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</si>
  <si>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</si>
  <si>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</si>
  <si>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</si>
  <si>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</si>
  <si>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</si>
  <si>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</si>
  <si>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</si>
  <si>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</si>
  <si>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</si>
  <si>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</si>
  <si>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</si>
  <si>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</si>
  <si>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</si>
  <si>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</si>
  <si>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</si>
  <si>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</si>
  <si>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</si>
  <si>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</si>
  <si>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</si>
  <si>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</si>
  <si>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</si>
  <si>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</si>
  <si>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</si>
  <si>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</si>
  <si>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</si>
  <si>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</si>
  <si>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</si>
  <si>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</si>
  <si>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</si>
  <si>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</si>
  <si>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</si>
  <si>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</si>
  <si>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</si>
  <si>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</si>
  <si>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</si>
  <si>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</si>
  <si>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</si>
  <si>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</si>
  <si>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</si>
  <si>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</si>
  <si>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</si>
  <si>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</si>
  <si>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</si>
  <si>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</si>
  <si>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</si>
  <si>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</si>
  <si>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</si>
  <si>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</si>
  <si>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</si>
  <si>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</si>
  <si>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</si>
  <si>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</si>
  <si>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</si>
  <si>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</si>
  <si>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</si>
  <si>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</si>
  <si>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</si>
  <si>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</si>
  <si>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</si>
  <si>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</si>
  <si>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</si>
  <si>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</si>
  <si>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</si>
  <si>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</si>
  <si>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</si>
  <si>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</si>
  <si>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</si>
  <si>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</si>
  <si>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</si>
  <si>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</si>
  <si>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</si>
  <si>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</si>
  <si>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</si>
  <si>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</si>
  <si>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</si>
  <si>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</si>
  <si>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</si>
  <si>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</si>
  <si>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</si>
  <si>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</si>
  <si>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</si>
  <si>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</si>
  <si>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</si>
  <si>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</si>
  <si>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</si>
  <si>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</si>
  <si>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</si>
  <si>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</si>
  <si>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</si>
  <si>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</si>
  <si>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</si>
  <si>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</si>
  <si>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</si>
  <si>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</si>
  <si>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</si>
  <si>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</si>
  <si>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</si>
  <si>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</si>
  <si>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</si>
  <si>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</si>
  <si>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</si>
  <si>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</si>
  <si>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</si>
  <si>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</si>
  <si>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</si>
  <si>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</si>
  <si>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</si>
  <si>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</si>
  <si>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Monthly Summary — 2024</t>
  </si>
  <si>
    <t>Supply Chain Analytics — Parameters &amp; Assumptions Reference Sheet</t>
  </si>
  <si>
    <t>Blue cells = Input assumptions (editable). Black cells = Derived/calculated values.</t>
  </si>
  <si>
    <t>Parameter</t>
  </si>
  <si>
    <t>Value</t>
  </si>
  <si>
    <t>Unit</t>
  </si>
  <si>
    <t>Notes / Justification</t>
  </si>
  <si>
    <t>📦  Product Information</t>
  </si>
  <si>
    <t>SKU ID</t>
  </si>
  <si>
    <t>SKU-001</t>
  </si>
  <si>
    <t>Single product for this analysis</t>
  </si>
  <si>
    <t>Product Name</t>
  </si>
  <si>
    <t>General Merchandise Unit</t>
  </si>
  <si>
    <t>Retail consumer product</t>
  </si>
  <si>
    <t>Unit of Measure</t>
  </si>
  <si>
    <t>Units (ea)</t>
  </si>
  <si>
    <t>Each item counted individually</t>
  </si>
  <si>
    <t>Planning Horizon</t>
  </si>
  <si>
    <t>Weekly</t>
  </si>
  <si>
    <t>Demand aggregated to weekly for planning</t>
  </si>
  <si>
    <t>🚚  Lead Time Parameters</t>
  </si>
  <si>
    <t>Minimum Lead Time</t>
  </si>
  <si>
    <t>Days</t>
  </si>
  <si>
    <t>Best-case supplier delivery</t>
  </si>
  <si>
    <t>Maximum Lead Time</t>
  </si>
  <si>
    <t>Worst-case including delays</t>
  </si>
  <si>
    <t>Average Lead Time</t>
  </si>
  <si>
    <t>Expected value; used in ROP calculation</t>
  </si>
  <si>
    <t>Lead Time Std Dev</t>
  </si>
  <si>
    <t>Variability around average</t>
  </si>
  <si>
    <t>Lead Time Distribution</t>
  </si>
  <si>
    <t>Normal</t>
  </si>
  <si>
    <t>Assumed normal for safety stock calc</t>
  </si>
  <si>
    <t>💵  Cost Parameters</t>
  </si>
  <si>
    <t>Fixed Ordering Cost (S)</t>
  </si>
  <si>
    <t>$ / order</t>
  </si>
  <si>
    <t>Admin, processing, transportation per order</t>
  </si>
  <si>
    <t>Unit Purchase Cost</t>
  </si>
  <si>
    <t>$ / unit</t>
  </si>
  <si>
    <t>Supplier price per unit</t>
  </si>
  <si>
    <t>Annual Holding Cost Rate</t>
  </si>
  <si>
    <t>20%</t>
  </si>
  <si>
    <t>% of unit cost/yr</t>
  </si>
  <si>
    <t>Storage, insurance, opportunity cost</t>
  </si>
  <si>
    <t>Holding Cost per Unit/Year (H)</t>
  </si>
  <si>
    <t>$ / unit / year</t>
  </si>
  <si>
    <t>Unit Cost x Holding Rate (25 x 20%)</t>
  </si>
  <si>
    <t>Stockout Cost per Unit</t>
  </si>
  <si>
    <t>$ / unit short</t>
  </si>
  <si>
    <t>Lost margin + goodwill penalty</t>
  </si>
  <si>
    <t>Emergency Reorder Premium</t>
  </si>
  <si>
    <t>35%</t>
  </si>
  <si>
    <t>% above unit cost</t>
  </si>
  <si>
    <t>Expedite surcharge for rush orders</t>
  </si>
  <si>
    <t>Obsolescence Cost</t>
  </si>
  <si>
    <t>Markdown or disposal cost</t>
  </si>
  <si>
    <t>🎯  Service Level &amp; Safety Stock</t>
  </si>
  <si>
    <t>Target Service Level</t>
  </si>
  <si>
    <t>95%</t>
  </si>
  <si>
    <t>Probability of not stocking out per cycle</t>
  </si>
  <si>
    <t>Z-Score (95%)</t>
  </si>
  <si>
    <t>Standard normal critical value</t>
  </si>
  <si>
    <t>Demand Std Dev (daily)</t>
  </si>
  <si>
    <t>Units</t>
  </si>
  <si>
    <t>Estimated from historical data</t>
  </si>
  <si>
    <t>Safety Stock Formula</t>
  </si>
  <si>
    <t>Z × σ_d × √L</t>
  </si>
  <si>
    <t>σ_d = daily demand std dev; L = lead time in days</t>
  </si>
  <si>
    <t>📐  EOQ Model Inputs</t>
  </si>
  <si>
    <t>Annual Demand (D)</t>
  </si>
  <si>
    <t>Units/year</t>
  </si>
  <si>
    <t>Estimated from 3-year average trend</t>
  </si>
  <si>
    <t>Ordering Cost (S)</t>
  </si>
  <si>
    <t>Same as Fixed Ordering Cost</t>
  </si>
  <si>
    <t>Holding Cost (H)</t>
  </si>
  <si>
    <t>Same as Holding Cost per unit</t>
  </si>
  <si>
    <t>EOQ Formula</t>
  </si>
  <si>
    <t>√(2DS/H)</t>
  </si>
  <si>
    <t>Economic Order Quantity</t>
  </si>
  <si>
    <t>👷  Workforce &amp; Labor Parameters</t>
  </si>
  <si>
    <t>Labor Cost — Regular</t>
  </si>
  <si>
    <t>$ / hour</t>
  </si>
  <si>
    <t>Standard hourly wage rate</t>
  </si>
  <si>
    <t>Labor Cost — Overtime</t>
  </si>
  <si>
    <t>1.5× regular rate</t>
  </si>
  <si>
    <t>🎲  Monte Carlo Simulation Parameters</t>
  </si>
  <si>
    <t>Number of Simulation Runs</t>
  </si>
  <si>
    <t>Iterations</t>
  </si>
  <si>
    <t>Sufficient for stable distribution</t>
  </si>
  <si>
    <t>Simulation Period</t>
  </si>
  <si>
    <t>One calendar month</t>
  </si>
  <si>
    <t>Demand Distribution</t>
  </si>
  <si>
    <t>Mean = avg daily demand, σ = historical std dev</t>
  </si>
  <si>
    <t>Mean = avg LT, σ = LT std dev</t>
  </si>
  <si>
    <t>Confidence Level for Tail Risk</t>
  </si>
  <si>
    <t>95th percentile</t>
  </si>
  <si>
    <t>P95 total monthly cost</t>
  </si>
  <si>
    <t>Starting Inventory</t>
  </si>
  <si>
    <t>Beginning inventory for simulation</t>
  </si>
  <si>
    <t>🔢  Key Derived Metrics (Calculated)</t>
  </si>
  <si>
    <t>Average Daily Demand (μ)</t>
  </si>
  <si>
    <t>Units/day</t>
  </si>
  <si>
    <t>Annual demand ÷ 365</t>
  </si>
  <si>
    <t>Safety Stock (units)</t>
  </si>
  <si>
    <t>Z × σ_daily × √(avg LT)</t>
  </si>
  <si>
    <t>Reorder Point (ROP)</t>
  </si>
  <si>
    <t>Avg demand during LT + Safety Stock</t>
  </si>
  <si>
    <t>EOQ (units)</t>
  </si>
  <si>
    <t>Orders per Year</t>
  </si>
  <si>
    <t>Orders/yr</t>
  </si>
  <si>
    <t>D / EOQ</t>
  </si>
  <si>
    <t>Avg Cycle Inventory</t>
  </si>
  <si>
    <t>EOQ / 2</t>
  </si>
  <si>
    <t>Annual Ordering Cost</t>
  </si>
  <si>
    <t>$</t>
  </si>
  <si>
    <t>Number of orders × S</t>
  </si>
  <si>
    <t>Annual Holding Cost</t>
  </si>
  <si>
    <t>Avg inventory × H</t>
  </si>
  <si>
    <t>Total Annual Inventory Cost</t>
  </si>
  <si>
    <t>Ordering + Holding</t>
  </si>
  <si>
    <t>Plots of the Data</t>
  </si>
  <si>
    <t>Total</t>
  </si>
  <si>
    <t>Day</t>
  </si>
  <si>
    <t>Demand Forecast</t>
  </si>
  <si>
    <t>Beginning Inventory</t>
  </si>
  <si>
    <t>Units Received</t>
  </si>
  <si>
    <t>Available Inventory</t>
  </si>
  <si>
    <t>Demand</t>
  </si>
  <si>
    <t>Demand Filled</t>
  </si>
  <si>
    <t>Ending Inventory</t>
  </si>
  <si>
    <t>Stockout</t>
  </si>
  <si>
    <t>Ending Inventory + Order</t>
  </si>
  <si>
    <t>Place Order? (1=Yes)</t>
  </si>
  <si>
    <t>Lead Time</t>
  </si>
  <si>
    <t>Arrive on Day</t>
  </si>
  <si>
    <t>Holding Cost</t>
  </si>
  <si>
    <t>Stock-out Cost</t>
  </si>
  <si>
    <t>Order Cost</t>
  </si>
  <si>
    <t>Total Cost</t>
  </si>
  <si>
    <t>Order Quantity, Q</t>
  </si>
  <si>
    <t>Reorder Point, R</t>
  </si>
  <si>
    <t>Min leadtime</t>
  </si>
  <si>
    <t>Stockout cost</t>
  </si>
  <si>
    <t>Demand During Lead Time</t>
  </si>
  <si>
    <t>Avg Daily Demand * Avg Lead Time</t>
  </si>
  <si>
    <t>Standard Deviation of Demand During Lead Time</t>
  </si>
  <si>
    <t>Max Leadtime</t>
  </si>
  <si>
    <t>Avg Leadtime</t>
  </si>
  <si>
    <t>Std Leadtime</t>
  </si>
  <si>
    <t>Std Demand</t>
  </si>
  <si>
    <t>Forecast for January, 2025</t>
  </si>
  <si>
    <t>Avg Demand</t>
  </si>
  <si>
    <t>Run</t>
  </si>
  <si>
    <t>Holding Costs</t>
  </si>
  <si>
    <t>Stock-ot Costs</t>
  </si>
  <si>
    <t>Order Costs</t>
  </si>
  <si>
    <t>Total Costs</t>
  </si>
  <si>
    <t>Forecast Demand</t>
  </si>
  <si>
    <t>Resource Optimization Exercise</t>
  </si>
  <si>
    <t>Capacity</t>
  </si>
  <si>
    <t>Output</t>
  </si>
  <si>
    <t>Regular</t>
  </si>
  <si>
    <t>Regular time</t>
  </si>
  <si>
    <t>Overtime</t>
  </si>
  <si>
    <t>Subcontract</t>
  </si>
  <si>
    <t>Cost per unit</t>
  </si>
  <si>
    <t>Output - Forecast</t>
  </si>
  <si>
    <t>Inventory</t>
  </si>
  <si>
    <t>Beginning</t>
  </si>
  <si>
    <t>Ending</t>
  </si>
  <si>
    <t>Inventory, per period</t>
  </si>
  <si>
    <t>Average</t>
  </si>
  <si>
    <t>Backlog</t>
  </si>
  <si>
    <t>Costs:</t>
  </si>
  <si>
    <t>Constraints</t>
  </si>
  <si>
    <t>Subcontracting</t>
  </si>
  <si>
    <t>&lt;=</t>
  </si>
  <si>
    <t>Beginning inventory</t>
  </si>
  <si>
    <t>=</t>
  </si>
  <si>
    <t>units</t>
  </si>
  <si>
    <t>Subonctract</t>
  </si>
  <si>
    <t>Backorders</t>
  </si>
  <si>
    <t>Objective - Min Cost</t>
  </si>
  <si>
    <t>Week</t>
  </si>
  <si>
    <t>units/day</t>
  </si>
  <si>
    <t>Sub-contract</t>
  </si>
  <si>
    <t>Sub-contracter wage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</si>
</sst>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  <font>
      <i/>
      <sz val="10"/>
      <color rgb="FF595959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Open Sans"/>
    </font>
    <font>
      <b/>
      <sz val="10"/>
      <name val="Arial"/>
      <family val="2"/>
    </font>
    <font>
      <sz val="10"/>
      <color rgb="FF595959"/>
      <name val="Arial"/>
      <family val="2"/>
    </font>
    <font>
      <i/>
      <sz val="10"/>
      <color rgb="FF595959"/>
      <name val="Arial"/>
      <family val="2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rgb="FFFFFFFF"/>
      <name val="Open Sans"/>
    </font>
    <font>
      <sz val="12"/>
      <color rgb="FF000000"/>
      <name val="Open Sans"/>
    </font>
    <font>
      <b/>
      <sz val="12"/>
      <color theme="1"/>
      <name val="Open Sans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0064A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</borders>
  <cellStyleXfs count="4">
    <xf numFmtId="0" fontId="0" fillId="0" borderId="0"/>
    <xf numFmtId="44" fontId="12" fillId="0" borderId="0" applyFont="0" applyFill="0" applyBorder="0" applyAlignment="0" applyProtection="0"/>
    <xf numFmtId="0" fontId="13" fillId="6" borderId="0" applyNumberFormat="0" applyBorder="0" applyAlignment="0" applyProtection="0"/>
    <xf numFmtId="0" fontId="14" fillId="7" borderId="2" applyNumberFormat="0" applyAlignment="0" applyProtection="0"/>
  </cellStyleXfs>
  <cellXfs count="7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/>
    <xf numFmtId="0" fontId="8" fillId="5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5" fillId="0" borderId="0" xfId="0" applyFont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2" fillId="0" borderId="0" xfId="0" applyFont="1"/>
    <xf numFmtId="0" fontId="24" fillId="10" borderId="9" xfId="0" applyFont="1" applyFill="1" applyBorder="1" applyAlignment="1">
      <alignment horizontal="right" wrapText="1"/>
    </xf>
    <xf numFmtId="0" fontId="24" fillId="10" borderId="6" xfId="0" applyFont="1" applyFill="1" applyBorder="1" applyAlignment="1">
      <alignment horizontal="right" wrapText="1"/>
    </xf>
    <xf numFmtId="0" fontId="25" fillId="0" borderId="4" xfId="0" applyFont="1" applyBorder="1" applyAlignment="1">
      <alignment wrapText="1"/>
    </xf>
    <xf numFmtId="0" fontId="24" fillId="10" borderId="5" xfId="0" applyFont="1" applyFill="1" applyBorder="1" applyAlignment="1">
      <alignment horizontal="right" wrapText="1"/>
    </xf>
    <xf numFmtId="0" fontId="24" fillId="10" borderId="13" xfId="0" applyFont="1" applyFill="1" applyBorder="1" applyAlignment="1">
      <alignment horizontal="right" wrapText="1"/>
    </xf>
    <xf numFmtId="8" fontId="24" fillId="10" borderId="5" xfId="0" applyNumberFormat="1" applyFont="1" applyFill="1" applyBorder="1" applyAlignment="1">
      <alignment horizontal="right" wrapText="1"/>
    </xf>
    <xf numFmtId="0" fontId="25" fillId="0" borderId="12" xfId="0" applyFont="1" applyBorder="1" applyAlignment="1">
      <alignment wrapText="1"/>
    </xf>
    <xf numFmtId="0" fontId="25" fillId="0" borderId="6" xfId="0" applyFont="1" applyBorder="1" applyAlignment="1">
      <alignment wrapText="1"/>
    </xf>
    <xf numFmtId="0" fontId="24" fillId="10" borderId="18" xfId="0" applyFont="1" applyFill="1" applyBorder="1"/>
    <xf numFmtId="0" fontId="24" fillId="10" borderId="1" xfId="0" applyFont="1" applyFill="1" applyBorder="1"/>
    <xf numFmtId="0" fontId="23" fillId="9" borderId="1" xfId="0" applyFont="1" applyFill="1" applyBorder="1" applyAlignment="1">
      <alignment horizontal="center" wrapText="1"/>
    </xf>
    <xf numFmtId="0" fontId="0" fillId="0" borderId="1" xfId="0" applyBorder="1"/>
    <xf numFmtId="8" fontId="0" fillId="0" borderId="1" xfId="0" applyNumberFormat="1" applyBorder="1"/>
    <xf numFmtId="44" fontId="0" fillId="0" borderId="1" xfId="1" applyFont="1" applyBorder="1" applyAlignment="1">
      <alignment horizontal="left"/>
    </xf>
    <xf numFmtId="0" fontId="14" fillId="7" borderId="2" xfId="3"/>
    <xf numFmtId="0" fontId="0" fillId="11" borderId="0" xfId="0" applyFill="1"/>
    <xf numFmtId="44" fontId="0" fillId="11" borderId="0" xfId="1" applyFont="1" applyFill="1"/>
    <xf numFmtId="0" fontId="26" fillId="0" borderId="0" xfId="0" applyFont="1"/>
    <xf numFmtId="44" fontId="15" fillId="0" borderId="0" xfId="0" applyNumberFormat="1" applyFont="1"/>
    <xf numFmtId="0" fontId="27" fillId="8" borderId="0" xfId="0" applyFont="1" applyFill="1" applyAlignment="1">
      <alignment vertical="center"/>
    </xf>
    <xf numFmtId="0" fontId="16" fillId="8" borderId="0" xfId="0" applyFont="1" applyFill="1" applyAlignment="1">
      <alignment vertical="center" wrapText="1"/>
    </xf>
    <xf numFmtId="0" fontId="28" fillId="9" borderId="0" xfId="0" applyFont="1" applyFill="1" applyAlignment="1">
      <alignment wrapText="1"/>
    </xf>
    <xf numFmtId="0" fontId="16" fillId="9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29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30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9" fillId="0" borderId="0" xfId="0" applyFont="1" applyAlignment="1">
      <alignment horizontal="right" wrapText="1"/>
    </xf>
    <xf numFmtId="0" fontId="17" fillId="0" borderId="0" xfId="0" applyFont="1" applyAlignment="1">
      <alignment horizontal="right" wrapText="1"/>
    </xf>
    <xf numFmtId="8" fontId="17" fillId="0" borderId="0" xfId="0" applyNumberFormat="1" applyFont="1" applyAlignment="1">
      <alignment horizontal="right" wrapText="1"/>
    </xf>
    <xf numFmtId="0" fontId="29" fillId="0" borderId="0" xfId="0" applyFont="1" applyAlignment="1">
      <alignment vertical="center"/>
    </xf>
    <xf numFmtId="8" fontId="16" fillId="0" borderId="0" xfId="0" applyNumberFormat="1" applyFont="1" applyAlignment="1">
      <alignment wrapText="1"/>
    </xf>
    <xf numFmtId="44" fontId="0" fillId="0" borderId="0" xfId="1" applyFont="1" applyBorder="1"/>
    <xf numFmtId="8" fontId="13" fillId="6" borderId="0" xfId="2" applyNumberFormat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4" fillId="2" borderId="0" xfId="0" applyFont="1" applyFill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indent="1"/>
    </xf>
    <xf numFmtId="0" fontId="24" fillId="0" borderId="19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22" xfId="0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4" fillId="0" borderId="11" xfId="0" applyFont="1" applyBorder="1" applyAlignment="1">
      <alignment wrapText="1"/>
    </xf>
    <xf numFmtId="0" fontId="24" fillId="0" borderId="7" xfId="0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21" fillId="8" borderId="1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9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</cellXfs>
  <cellStyles count="4">
    <cellStyle name="Check Cell" xfId="3" builtinId="23"/>
    <cellStyle name="Currency" xfId="1" builtinId="4"/>
    <cellStyle name="Good" xfId="2" builtinId="26"/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numFmt numFmtId="34" formatCode="_(&quot;$&quot;* #,##0.00_);_(&quot;$&quot;* \(#,##0.00\);_(&quot;$&quot;* &quot;-&quot;??_);_(@_)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numFmt numFmtId="34" formatCode="_(&quot;$&quot;* #,##0.00_);_(&quot;$&quot;* \(#,##0.00\);_(&quot;$&quot;* &quot;-&quot;??_);_(@_)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numFmt numFmtId="34" formatCode="_(&quot;$&quot;* #,##0.00_);_(&quot;$&quot;* \(#,##0.00\);_(&quot;$&quot;* &quot;-&quot;??_);_(@_)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  <numFmt numFmtId="34" formatCode="_(&quot;$&quot;* #,##0.00_);_(&quot;$&quot;* \(#,##0.00\);_(&quot;$&quot;* &quot;-&quot;??_);_(@_)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5</xdr:row>
      <xdr:rowOff>87630</xdr:rowOff>
    </xdr:from>
    <xdr:to>
      <xdr:col>8</xdr:col>
      <xdr:colOff>475117</xdr:colOff>
      <xdr:row>28</xdr:row>
      <xdr:rowOff>59825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27B1F9-38D6-32C6-CA64-00596754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92505"/>
          <a:ext cx="5151892" cy="414033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10</xdr:col>
      <xdr:colOff>96660</xdr:colOff>
      <xdr:row>5</xdr:row>
      <xdr:rowOff>174765</xdr:rowOff>
    </xdr:from>
    <xdr:to>
      <xdr:col>18</xdr:col>
      <xdr:colOff>441094</xdr:colOff>
      <xdr:row>28</xdr:row>
      <xdr:rowOff>171725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D97B9F-ABB6-F232-11C2-3B408903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660" y="1079640"/>
          <a:ext cx="5221234" cy="415176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333375</xdr:colOff>
      <xdr:row>63</xdr:row>
      <xdr:rowOff>121920</xdr:rowOff>
    </xdr:from>
    <xdr:to>
      <xdr:col>16</xdr:col>
      <xdr:colOff>373398</xdr:colOff>
      <xdr:row>91</xdr:row>
      <xdr:rowOff>47635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2FEDB4A-7E22-C8A8-28E4-FFF56DCC5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1570970"/>
          <a:ext cx="9184023" cy="499301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21</xdr:col>
      <xdr:colOff>534810</xdr:colOff>
      <xdr:row>6</xdr:row>
      <xdr:rowOff>37605</xdr:rowOff>
    </xdr:from>
    <xdr:to>
      <xdr:col>39</xdr:col>
      <xdr:colOff>430438</xdr:colOff>
      <xdr:row>96</xdr:row>
      <xdr:rowOff>123362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E6F5F5B-F5C9-5495-8C10-17C7C039B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6410" y="1171080"/>
          <a:ext cx="10868428" cy="16373507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343815</xdr:colOff>
      <xdr:row>31</xdr:row>
      <xdr:rowOff>73305</xdr:rowOff>
    </xdr:from>
    <xdr:to>
      <xdr:col>16</xdr:col>
      <xdr:colOff>389553</xdr:colOff>
      <xdr:row>59</xdr:row>
      <xdr:rowOff>111034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6421AF2-BF38-25A8-B8CE-346D8460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15" y="5731155"/>
          <a:ext cx="9189738" cy="510502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5A21EF-1E54-49CE-BD4C-BEBD03754058}" name="Table5" displayName="Table5" ref="R30:U31" totalsRowShown="0" headerRowDxfId="5" dataDxfId="4">
  <autoFilter ref="R30:U31" xr:uid="{F85A21EF-1E54-49CE-BD4C-BEBD03754058}">
    <filterColumn colId="0" hiddenButton="1"/>
    <filterColumn colId="1" hiddenButton="1"/>
    <filterColumn colId="2" hiddenButton="1"/>
    <filterColumn colId="3" hiddenButton="1"/>
  </autoFilter>
  <tableColumns count="4">
    <tableColumn id="1" xr3:uid="{DEEC0D37-997A-488A-BECB-4DACC033DBCF}" name="Holding Cost" dataDxfId="3">
      <calculatedColumnFormula>AVERAGE(Y2:Y501)</calculatedColumnFormula>
    </tableColumn>
    <tableColumn id="2" xr3:uid="{026627FA-C920-4928-81A9-9655B1D0BFE7}" name="Stock-out Cost" dataDxfId="2">
      <calculatedColumnFormula>AVERAGE(Z2:Z501)</calculatedColumnFormula>
    </tableColumn>
    <tableColumn id="3" xr3:uid="{565A37BD-C0BC-4238-BA7E-B66D56784835}" name="Order Cost" dataDxfId="1">
      <calculatedColumnFormula>AVERAGE(AA2:AA501)</calculatedColumnFormula>
    </tableColumn>
    <tableColumn id="4" xr3:uid="{AF73536F-85CD-409D-B644-400458C98C13}" name="Total Cost" dataDxfId="0">
      <calculatedColumnFormula>AVERAGE(AB2:AB501)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84"/>
  <sheetViews>
    <sheetView zoomScaleNormal="100" workbookViewId="0">
      <pane ySplit="2" topLeftCell="A337" activePane="bottomLeft" state="frozen"/>
      <selection pane="bottomLeft" activeCell="I373" sqref="I373"/>
    </sheetView>
  </sheetViews>
  <sheetFormatPr defaultColWidth="8.6640625" defaultRowHeight="14.4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</cols>
  <sheetData>
    <row r="1" spans="1:7" ht="27.75" customHeight="1">
      <c r="A1" s="51" t="s">
        <v>0</v>
      </c>
      <c r="B1" s="51"/>
      <c r="C1" s="51"/>
      <c r="D1" s="51"/>
      <c r="E1" s="51"/>
      <c r="F1" s="51"/>
      <c r="G1" s="51"/>
    </row>
    <row r="2" spans="1:7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customHeight="1">
      <c r="A3" s="2" t="s">
        <v>8</v>
      </c>
      <c r="B3" s="2" t="s">
        <v>9</v>
      </c>
      <c r="C3" s="2">
        <v>52</v>
      </c>
      <c r="D3" s="2" t="s">
        <v>10</v>
      </c>
      <c r="E3" s="2" t="s">
        <v>11</v>
      </c>
      <c r="F3" s="2">
        <v>138</v>
      </c>
      <c r="G3" s="2"/>
    </row>
    <row r="4" spans="1:7" ht="15" customHeight="1">
      <c r="A4" s="3" t="s">
        <v>12</v>
      </c>
      <c r="B4" s="3" t="s">
        <v>13</v>
      </c>
      <c r="C4" s="3">
        <v>52</v>
      </c>
      <c r="D4" s="3" t="s">
        <v>10</v>
      </c>
      <c r="E4" s="3" t="s">
        <v>11</v>
      </c>
      <c r="F4" s="3">
        <v>129</v>
      </c>
      <c r="G4" s="3"/>
    </row>
    <row r="5" spans="1:7" ht="15" customHeight="1">
      <c r="A5" s="2" t="s">
        <v>14</v>
      </c>
      <c r="B5" s="2" t="s">
        <v>15</v>
      </c>
      <c r="C5" s="2">
        <v>1</v>
      </c>
      <c r="D5" s="2" t="s">
        <v>10</v>
      </c>
      <c r="E5" s="2" t="s">
        <v>11</v>
      </c>
      <c r="F5" s="2">
        <v>171</v>
      </c>
      <c r="G5" s="2"/>
    </row>
    <row r="6" spans="1:7" ht="15" customHeight="1">
      <c r="A6" s="3" t="s">
        <v>16</v>
      </c>
      <c r="B6" s="3" t="s">
        <v>17</v>
      </c>
      <c r="C6" s="3">
        <v>1</v>
      </c>
      <c r="D6" s="3" t="s">
        <v>10</v>
      </c>
      <c r="E6" s="3" t="s">
        <v>11</v>
      </c>
      <c r="F6" s="3">
        <v>184</v>
      </c>
      <c r="G6" s="3"/>
    </row>
    <row r="7" spans="1:7" ht="15" customHeight="1">
      <c r="A7" s="2" t="s">
        <v>18</v>
      </c>
      <c r="B7" s="2" t="s">
        <v>19</v>
      </c>
      <c r="C7" s="2">
        <v>1</v>
      </c>
      <c r="D7" s="2" t="s">
        <v>10</v>
      </c>
      <c r="E7" s="2" t="s">
        <v>11</v>
      </c>
      <c r="F7" s="2">
        <v>158</v>
      </c>
      <c r="G7" s="2"/>
    </row>
    <row r="8" spans="1:7" ht="15" customHeight="1">
      <c r="A8" s="3" t="s">
        <v>20</v>
      </c>
      <c r="B8" s="3" t="s">
        <v>21</v>
      </c>
      <c r="C8" s="3">
        <v>1</v>
      </c>
      <c r="D8" s="3" t="s">
        <v>10</v>
      </c>
      <c r="E8" s="3" t="s">
        <v>11</v>
      </c>
      <c r="F8" s="3">
        <v>158</v>
      </c>
      <c r="G8" s="3"/>
    </row>
    <row r="9" spans="1:7" ht="15" customHeight="1">
      <c r="A9" s="2" t="s">
        <v>22</v>
      </c>
      <c r="B9" s="2" t="s">
        <v>23</v>
      </c>
      <c r="C9" s="2">
        <v>1</v>
      </c>
      <c r="D9" s="2" t="s">
        <v>10</v>
      </c>
      <c r="E9" s="2" t="s">
        <v>11</v>
      </c>
      <c r="F9" s="2">
        <v>186</v>
      </c>
      <c r="G9" s="2"/>
    </row>
    <row r="10" spans="1:7" ht="15" customHeight="1">
      <c r="A10" s="3" t="s">
        <v>24</v>
      </c>
      <c r="B10" s="3" t="s">
        <v>9</v>
      </c>
      <c r="C10" s="3">
        <v>1</v>
      </c>
      <c r="D10" s="3" t="s">
        <v>10</v>
      </c>
      <c r="E10" s="3" t="s">
        <v>11</v>
      </c>
      <c r="F10" s="3">
        <v>144</v>
      </c>
      <c r="G10" s="3"/>
    </row>
    <row r="11" spans="1:7" ht="15" customHeight="1">
      <c r="A11" s="2" t="s">
        <v>25</v>
      </c>
      <c r="B11" s="2" t="s">
        <v>13</v>
      </c>
      <c r="C11" s="2">
        <v>1</v>
      </c>
      <c r="D11" s="2" t="s">
        <v>10</v>
      </c>
      <c r="E11" s="2" t="s">
        <v>11</v>
      </c>
      <c r="F11" s="2">
        <v>125</v>
      </c>
      <c r="G11" s="2"/>
    </row>
    <row r="12" spans="1:7" ht="15" customHeight="1">
      <c r="A12" s="3" t="s">
        <v>26</v>
      </c>
      <c r="B12" s="3" t="s">
        <v>15</v>
      </c>
      <c r="C12" s="3">
        <v>2</v>
      </c>
      <c r="D12" s="3" t="s">
        <v>10</v>
      </c>
      <c r="E12" s="3" t="s">
        <v>11</v>
      </c>
      <c r="F12" s="3">
        <v>171</v>
      </c>
      <c r="G12" s="3"/>
    </row>
    <row r="13" spans="1:7" ht="15" customHeight="1">
      <c r="A13" s="2" t="s">
        <v>27</v>
      </c>
      <c r="B13" s="2" t="s">
        <v>17</v>
      </c>
      <c r="C13" s="2">
        <v>2</v>
      </c>
      <c r="D13" s="2" t="s">
        <v>10</v>
      </c>
      <c r="E13" s="2" t="s">
        <v>11</v>
      </c>
      <c r="F13" s="2">
        <v>156</v>
      </c>
      <c r="G13" s="2"/>
    </row>
    <row r="14" spans="1:7" ht="15" customHeight="1">
      <c r="A14" s="3" t="s">
        <v>28</v>
      </c>
      <c r="B14" s="3" t="s">
        <v>19</v>
      </c>
      <c r="C14" s="3">
        <v>2</v>
      </c>
      <c r="D14" s="3" t="s">
        <v>10</v>
      </c>
      <c r="E14" s="3" t="s">
        <v>11</v>
      </c>
      <c r="F14" s="3">
        <v>156</v>
      </c>
      <c r="G14" s="3"/>
    </row>
    <row r="15" spans="1:7" ht="15" customHeight="1">
      <c r="A15" s="2" t="s">
        <v>29</v>
      </c>
      <c r="B15" s="2" t="s">
        <v>21</v>
      </c>
      <c r="C15" s="2">
        <v>2</v>
      </c>
      <c r="D15" s="2" t="s">
        <v>10</v>
      </c>
      <c r="E15" s="2" t="s">
        <v>11</v>
      </c>
      <c r="F15" s="2">
        <v>167</v>
      </c>
      <c r="G15" s="2"/>
    </row>
    <row r="16" spans="1:7" ht="15" customHeight="1">
      <c r="A16" s="3" t="s">
        <v>30</v>
      </c>
      <c r="B16" s="3" t="s">
        <v>23</v>
      </c>
      <c r="C16" s="3">
        <v>2</v>
      </c>
      <c r="D16" s="3" t="s">
        <v>10</v>
      </c>
      <c r="E16" s="3" t="s">
        <v>11</v>
      </c>
      <c r="F16" s="3">
        <v>135</v>
      </c>
      <c r="G16" s="3"/>
    </row>
    <row r="17" spans="1:7" ht="15" customHeight="1">
      <c r="A17" s="2" t="s">
        <v>31</v>
      </c>
      <c r="B17" s="2" t="s">
        <v>9</v>
      </c>
      <c r="C17" s="2">
        <v>2</v>
      </c>
      <c r="D17" s="2" t="s">
        <v>10</v>
      </c>
      <c r="E17" s="2" t="s">
        <v>11</v>
      </c>
      <c r="F17" s="2">
        <v>108</v>
      </c>
      <c r="G17" s="2"/>
    </row>
    <row r="18" spans="1:7" ht="15" customHeight="1">
      <c r="A18" s="3" t="s">
        <v>32</v>
      </c>
      <c r="B18" s="3" t="s">
        <v>13</v>
      </c>
      <c r="C18" s="3">
        <v>2</v>
      </c>
      <c r="D18" s="3" t="s">
        <v>10</v>
      </c>
      <c r="E18" s="3" t="s">
        <v>11</v>
      </c>
      <c r="F18" s="3">
        <v>126</v>
      </c>
      <c r="G18" s="3"/>
    </row>
    <row r="19" spans="1:7" ht="15" customHeight="1">
      <c r="A19" s="2" t="s">
        <v>33</v>
      </c>
      <c r="B19" s="2" t="s">
        <v>15</v>
      </c>
      <c r="C19" s="2">
        <v>3</v>
      </c>
      <c r="D19" s="2" t="s">
        <v>10</v>
      </c>
      <c r="E19" s="2" t="s">
        <v>11</v>
      </c>
      <c r="F19" s="2">
        <v>149</v>
      </c>
      <c r="G19" s="2"/>
    </row>
    <row r="20" spans="1:7" ht="15" customHeight="1">
      <c r="A20" s="3" t="s">
        <v>34</v>
      </c>
      <c r="B20" s="3" t="s">
        <v>17</v>
      </c>
      <c r="C20" s="3">
        <v>3</v>
      </c>
      <c r="D20" s="3" t="s">
        <v>10</v>
      </c>
      <c r="E20" s="3" t="s">
        <v>11</v>
      </c>
      <c r="F20" s="3">
        <v>170</v>
      </c>
      <c r="G20" s="3"/>
    </row>
    <row r="21" spans="1:7" ht="15" customHeight="1">
      <c r="A21" s="2" t="s">
        <v>35</v>
      </c>
      <c r="B21" s="2" t="s">
        <v>19</v>
      </c>
      <c r="C21" s="2">
        <v>3</v>
      </c>
      <c r="D21" s="2" t="s">
        <v>10</v>
      </c>
      <c r="E21" s="2" t="s">
        <v>11</v>
      </c>
      <c r="F21" s="2">
        <v>152</v>
      </c>
      <c r="G21" s="2"/>
    </row>
    <row r="22" spans="1:7" ht="15" customHeight="1">
      <c r="A22" s="3" t="s">
        <v>36</v>
      </c>
      <c r="B22" s="3" t="s">
        <v>21</v>
      </c>
      <c r="C22" s="3">
        <v>3</v>
      </c>
      <c r="D22" s="3" t="s">
        <v>10</v>
      </c>
      <c r="E22" s="3" t="s">
        <v>11</v>
      </c>
      <c r="F22" s="3">
        <v>144</v>
      </c>
      <c r="G22" s="3"/>
    </row>
    <row r="23" spans="1:7" ht="15" customHeight="1">
      <c r="A23" s="2" t="s">
        <v>37</v>
      </c>
      <c r="B23" s="2" t="s">
        <v>23</v>
      </c>
      <c r="C23" s="2">
        <v>3</v>
      </c>
      <c r="D23" s="2" t="s">
        <v>10</v>
      </c>
      <c r="E23" s="2" t="s">
        <v>11</v>
      </c>
      <c r="F23" s="2">
        <v>188</v>
      </c>
      <c r="G23" s="2"/>
    </row>
    <row r="24" spans="1:7" ht="15" customHeight="1">
      <c r="A24" s="3" t="s">
        <v>38</v>
      </c>
      <c r="B24" s="3" t="s">
        <v>9</v>
      </c>
      <c r="C24" s="3">
        <v>3</v>
      </c>
      <c r="D24" s="3" t="s">
        <v>10</v>
      </c>
      <c r="E24" s="3" t="s">
        <v>11</v>
      </c>
      <c r="F24" s="3">
        <v>133</v>
      </c>
      <c r="G24" s="3"/>
    </row>
    <row r="25" spans="1:7" ht="15" customHeight="1">
      <c r="A25" s="2" t="s">
        <v>39</v>
      </c>
      <c r="B25" s="2" t="s">
        <v>13</v>
      </c>
      <c r="C25" s="2">
        <v>3</v>
      </c>
      <c r="D25" s="2" t="s">
        <v>10</v>
      </c>
      <c r="E25" s="2" t="s">
        <v>11</v>
      </c>
      <c r="F25" s="2">
        <v>138</v>
      </c>
      <c r="G25" s="2"/>
    </row>
    <row r="26" spans="1:7" ht="15" customHeight="1">
      <c r="A26" s="3" t="s">
        <v>40</v>
      </c>
      <c r="B26" s="3" t="s">
        <v>15</v>
      </c>
      <c r="C26" s="3">
        <v>4</v>
      </c>
      <c r="D26" s="3" t="s">
        <v>10</v>
      </c>
      <c r="E26" s="3" t="s">
        <v>11</v>
      </c>
      <c r="F26" s="3">
        <v>146</v>
      </c>
      <c r="G26" s="3"/>
    </row>
    <row r="27" spans="1:7" ht="15" customHeight="1">
      <c r="A27" s="2" t="s">
        <v>41</v>
      </c>
      <c r="B27" s="2" t="s">
        <v>17</v>
      </c>
      <c r="C27" s="2">
        <v>4</v>
      </c>
      <c r="D27" s="2" t="s">
        <v>10</v>
      </c>
      <c r="E27" s="2" t="s">
        <v>11</v>
      </c>
      <c r="F27" s="2">
        <v>159</v>
      </c>
      <c r="G27" s="2"/>
    </row>
    <row r="28" spans="1:7" ht="15" customHeight="1">
      <c r="A28" s="3" t="s">
        <v>42</v>
      </c>
      <c r="B28" s="3" t="s">
        <v>19</v>
      </c>
      <c r="C28" s="3">
        <v>4</v>
      </c>
      <c r="D28" s="3" t="s">
        <v>10</v>
      </c>
      <c r="E28" s="3" t="s">
        <v>11</v>
      </c>
      <c r="F28" s="3">
        <v>169</v>
      </c>
      <c r="G28" s="3"/>
    </row>
    <row r="29" spans="1:7" ht="15" customHeight="1">
      <c r="A29" s="2" t="s">
        <v>43</v>
      </c>
      <c r="B29" s="2" t="s">
        <v>21</v>
      </c>
      <c r="C29" s="2">
        <v>4</v>
      </c>
      <c r="D29" s="2" t="s">
        <v>10</v>
      </c>
      <c r="E29" s="2" t="s">
        <v>11</v>
      </c>
      <c r="F29" s="2">
        <v>151</v>
      </c>
      <c r="G29" s="2"/>
    </row>
    <row r="30" spans="1:7" ht="15" customHeight="1">
      <c r="A30" s="3" t="s">
        <v>44</v>
      </c>
      <c r="B30" s="3" t="s">
        <v>23</v>
      </c>
      <c r="C30" s="3">
        <v>4</v>
      </c>
      <c r="D30" s="3" t="s">
        <v>10</v>
      </c>
      <c r="E30" s="3" t="s">
        <v>11</v>
      </c>
      <c r="F30" s="3">
        <v>174</v>
      </c>
      <c r="G30" s="3"/>
    </row>
    <row r="31" spans="1:7" ht="15" customHeight="1">
      <c r="A31" s="2" t="s">
        <v>45</v>
      </c>
      <c r="B31" s="2" t="s">
        <v>9</v>
      </c>
      <c r="C31" s="2">
        <v>4</v>
      </c>
      <c r="D31" s="2" t="s">
        <v>10</v>
      </c>
      <c r="E31" s="2" t="s">
        <v>11</v>
      </c>
      <c r="F31" s="2">
        <v>130</v>
      </c>
      <c r="G31" s="2"/>
    </row>
    <row r="32" spans="1:7" ht="15" customHeight="1">
      <c r="A32" s="3" t="s">
        <v>46</v>
      </c>
      <c r="B32" s="3" t="s">
        <v>13</v>
      </c>
      <c r="C32" s="3">
        <v>4</v>
      </c>
      <c r="D32" s="3" t="s">
        <v>10</v>
      </c>
      <c r="E32" s="3" t="s">
        <v>11</v>
      </c>
      <c r="F32" s="3">
        <v>135</v>
      </c>
      <c r="G32" s="3"/>
    </row>
    <row r="33" spans="1:7" ht="15" customHeight="1">
      <c r="A33" s="2" t="s">
        <v>47</v>
      </c>
      <c r="B33" s="2" t="s">
        <v>15</v>
      </c>
      <c r="C33" s="2">
        <v>5</v>
      </c>
      <c r="D33" s="2" t="s">
        <v>10</v>
      </c>
      <c r="E33" s="2" t="s">
        <v>11</v>
      </c>
      <c r="F33" s="2">
        <v>161</v>
      </c>
      <c r="G33" s="2"/>
    </row>
    <row r="34" spans="1:7" ht="15" customHeight="1">
      <c r="A34" s="3" t="s">
        <v>48</v>
      </c>
      <c r="B34" s="3" t="s">
        <v>17</v>
      </c>
      <c r="C34" s="3">
        <v>5</v>
      </c>
      <c r="D34" s="3" t="s">
        <v>49</v>
      </c>
      <c r="E34" s="3" t="s">
        <v>11</v>
      </c>
      <c r="F34" s="3">
        <v>198</v>
      </c>
      <c r="G34" s="3"/>
    </row>
    <row r="35" spans="1:7" ht="15" customHeight="1">
      <c r="A35" s="2" t="s">
        <v>50</v>
      </c>
      <c r="B35" s="2" t="s">
        <v>19</v>
      </c>
      <c r="C35" s="2">
        <v>5</v>
      </c>
      <c r="D35" s="2" t="s">
        <v>49</v>
      </c>
      <c r="E35" s="2" t="s">
        <v>11</v>
      </c>
      <c r="F35" s="2">
        <v>170</v>
      </c>
      <c r="G35" s="2"/>
    </row>
    <row r="36" spans="1:7" ht="15" customHeight="1">
      <c r="A36" s="3" t="s">
        <v>51</v>
      </c>
      <c r="B36" s="3" t="s">
        <v>21</v>
      </c>
      <c r="C36" s="3">
        <v>5</v>
      </c>
      <c r="D36" s="3" t="s">
        <v>49</v>
      </c>
      <c r="E36" s="3" t="s">
        <v>11</v>
      </c>
      <c r="F36" s="3">
        <v>155</v>
      </c>
      <c r="G36" s="3"/>
    </row>
    <row r="37" spans="1:7" ht="15" customHeight="1">
      <c r="A37" s="2" t="s">
        <v>52</v>
      </c>
      <c r="B37" s="2" t="s">
        <v>23</v>
      </c>
      <c r="C37" s="2">
        <v>5</v>
      </c>
      <c r="D37" s="2" t="s">
        <v>49</v>
      </c>
      <c r="E37" s="2" t="s">
        <v>11</v>
      </c>
      <c r="F37" s="2">
        <v>184</v>
      </c>
      <c r="G37" s="2"/>
    </row>
    <row r="38" spans="1:7" ht="15" customHeight="1">
      <c r="A38" s="3" t="s">
        <v>53</v>
      </c>
      <c r="B38" s="3" t="s">
        <v>9</v>
      </c>
      <c r="C38" s="3">
        <v>5</v>
      </c>
      <c r="D38" s="3" t="s">
        <v>49</v>
      </c>
      <c r="E38" s="3" t="s">
        <v>11</v>
      </c>
      <c r="F38" s="3">
        <v>124</v>
      </c>
      <c r="G38" s="3"/>
    </row>
    <row r="39" spans="1:7" ht="15" customHeight="1">
      <c r="A39" s="2" t="s">
        <v>54</v>
      </c>
      <c r="B39" s="2" t="s">
        <v>13</v>
      </c>
      <c r="C39" s="2">
        <v>5</v>
      </c>
      <c r="D39" s="2" t="s">
        <v>49</v>
      </c>
      <c r="E39" s="2" t="s">
        <v>11</v>
      </c>
      <c r="F39" s="2">
        <v>146</v>
      </c>
      <c r="G39" s="2"/>
    </row>
    <row r="40" spans="1:7" ht="15" customHeight="1">
      <c r="A40" s="3" t="s">
        <v>55</v>
      </c>
      <c r="B40" s="3" t="s">
        <v>15</v>
      </c>
      <c r="C40" s="3">
        <v>6</v>
      </c>
      <c r="D40" s="3" t="s">
        <v>49</v>
      </c>
      <c r="E40" s="3" t="s">
        <v>11</v>
      </c>
      <c r="F40" s="3">
        <v>144</v>
      </c>
      <c r="G40" s="3"/>
    </row>
    <row r="41" spans="1:7" ht="15" customHeight="1">
      <c r="A41" s="2" t="s">
        <v>56</v>
      </c>
      <c r="B41" s="2" t="s">
        <v>17</v>
      </c>
      <c r="C41" s="2">
        <v>6</v>
      </c>
      <c r="D41" s="2" t="s">
        <v>49</v>
      </c>
      <c r="E41" s="2" t="s">
        <v>11</v>
      </c>
      <c r="F41" s="2">
        <v>153</v>
      </c>
      <c r="G41" s="2"/>
    </row>
    <row r="42" spans="1:7" ht="15" customHeight="1">
      <c r="A42" s="3" t="s">
        <v>57</v>
      </c>
      <c r="B42" s="3" t="s">
        <v>19</v>
      </c>
      <c r="C42" s="3">
        <v>6</v>
      </c>
      <c r="D42" s="3" t="s">
        <v>49</v>
      </c>
      <c r="E42" s="3" t="s">
        <v>11</v>
      </c>
      <c r="F42" s="3">
        <v>177</v>
      </c>
      <c r="G42" s="3"/>
    </row>
    <row r="43" spans="1:7" ht="15" customHeight="1">
      <c r="A43" s="2" t="s">
        <v>58</v>
      </c>
      <c r="B43" s="2" t="s">
        <v>21</v>
      </c>
      <c r="C43" s="2">
        <v>6</v>
      </c>
      <c r="D43" s="2" t="s">
        <v>49</v>
      </c>
      <c r="E43" s="2" t="s">
        <v>11</v>
      </c>
      <c r="F43" s="2">
        <v>185</v>
      </c>
      <c r="G43" s="2"/>
    </row>
    <row r="44" spans="1:7" ht="15" customHeight="1">
      <c r="A44" s="3" t="s">
        <v>59</v>
      </c>
      <c r="B44" s="3" t="s">
        <v>23</v>
      </c>
      <c r="C44" s="3">
        <v>6</v>
      </c>
      <c r="D44" s="3" t="s">
        <v>49</v>
      </c>
      <c r="E44" s="3" t="s">
        <v>11</v>
      </c>
      <c r="F44" s="3">
        <v>177</v>
      </c>
      <c r="G44" s="3"/>
    </row>
    <row r="45" spans="1:7" ht="15" customHeight="1">
      <c r="A45" s="2" t="s">
        <v>60</v>
      </c>
      <c r="B45" s="2" t="s">
        <v>9</v>
      </c>
      <c r="C45" s="2">
        <v>6</v>
      </c>
      <c r="D45" s="2" t="s">
        <v>49</v>
      </c>
      <c r="E45" s="2" t="s">
        <v>11</v>
      </c>
      <c r="F45" s="2">
        <v>144</v>
      </c>
      <c r="G45" s="2"/>
    </row>
    <row r="46" spans="1:7" ht="15" customHeight="1">
      <c r="A46" s="3" t="s">
        <v>61</v>
      </c>
      <c r="B46" s="3" t="s">
        <v>13</v>
      </c>
      <c r="C46" s="3">
        <v>6</v>
      </c>
      <c r="D46" s="3" t="s">
        <v>49</v>
      </c>
      <c r="E46" s="3" t="s">
        <v>11</v>
      </c>
      <c r="F46" s="3">
        <v>141</v>
      </c>
      <c r="G46" s="3"/>
    </row>
    <row r="47" spans="1:7" ht="15" customHeight="1">
      <c r="A47" s="2" t="s">
        <v>62</v>
      </c>
      <c r="B47" s="2" t="s">
        <v>15</v>
      </c>
      <c r="C47" s="2">
        <v>7</v>
      </c>
      <c r="D47" s="2" t="s">
        <v>49</v>
      </c>
      <c r="E47" s="2" t="s">
        <v>11</v>
      </c>
      <c r="F47" s="2">
        <v>154</v>
      </c>
      <c r="G47" s="2"/>
    </row>
    <row r="48" spans="1:7" ht="15" customHeight="1">
      <c r="A48" s="3" t="s">
        <v>63</v>
      </c>
      <c r="B48" s="3" t="s">
        <v>17</v>
      </c>
      <c r="C48" s="3">
        <v>7</v>
      </c>
      <c r="D48" s="3" t="s">
        <v>49</v>
      </c>
      <c r="E48" s="3" t="s">
        <v>11</v>
      </c>
      <c r="F48" s="3">
        <v>166</v>
      </c>
      <c r="G48" s="3"/>
    </row>
    <row r="49" spans="1:7" ht="15" customHeight="1">
      <c r="A49" s="2" t="s">
        <v>64</v>
      </c>
      <c r="B49" s="2" t="s">
        <v>19</v>
      </c>
      <c r="C49" s="2">
        <v>7</v>
      </c>
      <c r="D49" s="2" t="s">
        <v>49</v>
      </c>
      <c r="E49" s="2" t="s">
        <v>11</v>
      </c>
      <c r="F49" s="2">
        <v>170</v>
      </c>
      <c r="G49" s="2"/>
    </row>
    <row r="50" spans="1:7" ht="15" customHeight="1">
      <c r="A50" s="3" t="s">
        <v>65</v>
      </c>
      <c r="B50" s="3" t="s">
        <v>21</v>
      </c>
      <c r="C50" s="3">
        <v>7</v>
      </c>
      <c r="D50" s="3" t="s">
        <v>49</v>
      </c>
      <c r="E50" s="3" t="s">
        <v>11</v>
      </c>
      <c r="F50" s="3">
        <v>194</v>
      </c>
      <c r="G50" s="3"/>
    </row>
    <row r="51" spans="1:7" ht="15" customHeight="1">
      <c r="A51" s="2" t="s">
        <v>66</v>
      </c>
      <c r="B51" s="2" t="s">
        <v>23</v>
      </c>
      <c r="C51" s="2">
        <v>7</v>
      </c>
      <c r="D51" s="2" t="s">
        <v>49</v>
      </c>
      <c r="E51" s="2" t="s">
        <v>11</v>
      </c>
      <c r="F51" s="2">
        <v>183</v>
      </c>
      <c r="G51" s="2"/>
    </row>
    <row r="52" spans="1:7" ht="15" customHeight="1">
      <c r="A52" s="3" t="s">
        <v>67</v>
      </c>
      <c r="B52" s="3" t="s">
        <v>9</v>
      </c>
      <c r="C52" s="3">
        <v>7</v>
      </c>
      <c r="D52" s="3" t="s">
        <v>49</v>
      </c>
      <c r="E52" s="3" t="s">
        <v>11</v>
      </c>
      <c r="F52" s="3">
        <v>122</v>
      </c>
      <c r="G52" s="3"/>
    </row>
    <row r="53" spans="1:7" ht="15" customHeight="1">
      <c r="A53" s="2" t="s">
        <v>68</v>
      </c>
      <c r="B53" s="2" t="s">
        <v>13</v>
      </c>
      <c r="C53" s="2">
        <v>7</v>
      </c>
      <c r="D53" s="2" t="s">
        <v>49</v>
      </c>
      <c r="E53" s="2" t="s">
        <v>11</v>
      </c>
      <c r="F53" s="2">
        <v>154</v>
      </c>
      <c r="G53" s="2"/>
    </row>
    <row r="54" spans="1:7" ht="15" customHeight="1">
      <c r="A54" s="3" t="s">
        <v>69</v>
      </c>
      <c r="B54" s="3" t="s">
        <v>15</v>
      </c>
      <c r="C54" s="3">
        <v>8</v>
      </c>
      <c r="D54" s="3" t="s">
        <v>49</v>
      </c>
      <c r="E54" s="3" t="s">
        <v>11</v>
      </c>
      <c r="F54" s="3">
        <v>174</v>
      </c>
      <c r="G54" s="3"/>
    </row>
    <row r="55" spans="1:7" ht="15" customHeight="1">
      <c r="A55" s="2" t="s">
        <v>70</v>
      </c>
      <c r="B55" s="2" t="s">
        <v>17</v>
      </c>
      <c r="C55" s="2">
        <v>8</v>
      </c>
      <c r="D55" s="2" t="s">
        <v>49</v>
      </c>
      <c r="E55" s="2" t="s">
        <v>11</v>
      </c>
      <c r="F55" s="2">
        <v>170</v>
      </c>
      <c r="G55" s="2"/>
    </row>
    <row r="56" spans="1:7" ht="15" customHeight="1">
      <c r="A56" s="3" t="s">
        <v>71</v>
      </c>
      <c r="B56" s="3" t="s">
        <v>19</v>
      </c>
      <c r="C56" s="3">
        <v>8</v>
      </c>
      <c r="D56" s="3" t="s">
        <v>49</v>
      </c>
      <c r="E56" s="3" t="s">
        <v>11</v>
      </c>
      <c r="F56" s="3">
        <v>190</v>
      </c>
      <c r="G56" s="3"/>
    </row>
    <row r="57" spans="1:7" ht="15" customHeight="1">
      <c r="A57" s="2" t="s">
        <v>72</v>
      </c>
      <c r="B57" s="2" t="s">
        <v>21</v>
      </c>
      <c r="C57" s="2">
        <v>8</v>
      </c>
      <c r="D57" s="2" t="s">
        <v>49</v>
      </c>
      <c r="E57" s="2" t="s">
        <v>11</v>
      </c>
      <c r="F57" s="2">
        <v>197</v>
      </c>
      <c r="G57" s="2"/>
    </row>
    <row r="58" spans="1:7" ht="15" customHeight="1">
      <c r="A58" s="3" t="s">
        <v>73</v>
      </c>
      <c r="B58" s="3" t="s">
        <v>23</v>
      </c>
      <c r="C58" s="3">
        <v>8</v>
      </c>
      <c r="D58" s="3" t="s">
        <v>49</v>
      </c>
      <c r="E58" s="3" t="s">
        <v>11</v>
      </c>
      <c r="F58" s="3">
        <v>196</v>
      </c>
      <c r="G58" s="3"/>
    </row>
    <row r="59" spans="1:7" ht="15" customHeight="1">
      <c r="A59" s="2" t="s">
        <v>74</v>
      </c>
      <c r="B59" s="2" t="s">
        <v>9</v>
      </c>
      <c r="C59" s="2">
        <v>8</v>
      </c>
      <c r="D59" s="2" t="s">
        <v>49</v>
      </c>
      <c r="E59" s="2" t="s">
        <v>11</v>
      </c>
      <c r="F59" s="2">
        <v>140</v>
      </c>
      <c r="G59" s="2"/>
    </row>
    <row r="60" spans="1:7" ht="15" customHeight="1">
      <c r="A60" s="3" t="s">
        <v>75</v>
      </c>
      <c r="B60" s="3" t="s">
        <v>13</v>
      </c>
      <c r="C60" s="3">
        <v>8</v>
      </c>
      <c r="D60" s="3" t="s">
        <v>49</v>
      </c>
      <c r="E60" s="3" t="s">
        <v>11</v>
      </c>
      <c r="F60" s="3">
        <v>148</v>
      </c>
      <c r="G60" s="3"/>
    </row>
    <row r="61" spans="1:7" ht="15" customHeight="1">
      <c r="A61" s="2" t="s">
        <v>76</v>
      </c>
      <c r="B61" s="2" t="s">
        <v>15</v>
      </c>
      <c r="C61" s="2">
        <v>9</v>
      </c>
      <c r="D61" s="2" t="s">
        <v>49</v>
      </c>
      <c r="E61" s="2" t="s">
        <v>11</v>
      </c>
      <c r="F61" s="2">
        <v>189</v>
      </c>
      <c r="G61" s="2"/>
    </row>
    <row r="62" spans="1:7" ht="15" customHeight="1">
      <c r="A62" s="3" t="s">
        <v>77</v>
      </c>
      <c r="B62" s="3" t="s">
        <v>17</v>
      </c>
      <c r="C62" s="3">
        <v>9</v>
      </c>
      <c r="D62" s="3" t="s">
        <v>78</v>
      </c>
      <c r="E62" s="3" t="s">
        <v>11</v>
      </c>
      <c r="F62" s="3">
        <v>199</v>
      </c>
      <c r="G62" s="3"/>
    </row>
    <row r="63" spans="1:7" ht="15" customHeight="1">
      <c r="A63" s="2" t="s">
        <v>79</v>
      </c>
      <c r="B63" s="2" t="s">
        <v>19</v>
      </c>
      <c r="C63" s="2">
        <v>9</v>
      </c>
      <c r="D63" s="2" t="s">
        <v>78</v>
      </c>
      <c r="E63" s="2" t="s">
        <v>11</v>
      </c>
      <c r="F63" s="2">
        <v>178</v>
      </c>
      <c r="G63" s="2"/>
    </row>
    <row r="64" spans="1:7" ht="15" customHeight="1">
      <c r="A64" s="3" t="s">
        <v>80</v>
      </c>
      <c r="B64" s="3" t="s">
        <v>21</v>
      </c>
      <c r="C64" s="3">
        <v>9</v>
      </c>
      <c r="D64" s="3" t="s">
        <v>78</v>
      </c>
      <c r="E64" s="3" t="s">
        <v>11</v>
      </c>
      <c r="F64" s="3">
        <v>183</v>
      </c>
      <c r="G64" s="3"/>
    </row>
    <row r="65" spans="1:7" ht="15" customHeight="1">
      <c r="A65" s="2" t="s">
        <v>81</v>
      </c>
      <c r="B65" s="2" t="s">
        <v>23</v>
      </c>
      <c r="C65" s="2">
        <v>9</v>
      </c>
      <c r="D65" s="2" t="s">
        <v>78</v>
      </c>
      <c r="E65" s="2" t="s">
        <v>11</v>
      </c>
      <c r="F65" s="2">
        <v>169</v>
      </c>
      <c r="G65" s="2"/>
    </row>
    <row r="66" spans="1:7" ht="15" customHeight="1">
      <c r="A66" s="3" t="s">
        <v>82</v>
      </c>
      <c r="B66" s="3" t="s">
        <v>9</v>
      </c>
      <c r="C66" s="3">
        <v>9</v>
      </c>
      <c r="D66" s="3" t="s">
        <v>78</v>
      </c>
      <c r="E66" s="3" t="s">
        <v>11</v>
      </c>
      <c r="F66" s="3">
        <v>139</v>
      </c>
      <c r="G66" s="3"/>
    </row>
    <row r="67" spans="1:7" ht="15" customHeight="1">
      <c r="A67" s="2" t="s">
        <v>83</v>
      </c>
      <c r="B67" s="2" t="s">
        <v>13</v>
      </c>
      <c r="C67" s="2">
        <v>9</v>
      </c>
      <c r="D67" s="2" t="s">
        <v>78</v>
      </c>
      <c r="E67" s="2" t="s">
        <v>11</v>
      </c>
      <c r="F67" s="2">
        <v>169</v>
      </c>
      <c r="G67" s="2"/>
    </row>
    <row r="68" spans="1:7" ht="15" customHeight="1">
      <c r="A68" s="3" t="s">
        <v>84</v>
      </c>
      <c r="B68" s="3" t="s">
        <v>15</v>
      </c>
      <c r="C68" s="3">
        <v>10</v>
      </c>
      <c r="D68" s="3" t="s">
        <v>78</v>
      </c>
      <c r="E68" s="3" t="s">
        <v>11</v>
      </c>
      <c r="F68" s="3">
        <v>208</v>
      </c>
      <c r="G68" s="3"/>
    </row>
    <row r="69" spans="1:7" ht="15" customHeight="1">
      <c r="A69" s="2" t="s">
        <v>85</v>
      </c>
      <c r="B69" s="2" t="s">
        <v>17</v>
      </c>
      <c r="C69" s="2">
        <v>10</v>
      </c>
      <c r="D69" s="2" t="s">
        <v>78</v>
      </c>
      <c r="E69" s="2" t="s">
        <v>11</v>
      </c>
      <c r="F69" s="2">
        <v>187</v>
      </c>
      <c r="G69" s="2"/>
    </row>
    <row r="70" spans="1:7" ht="15" customHeight="1">
      <c r="A70" s="3" t="s">
        <v>86</v>
      </c>
      <c r="B70" s="3" t="s">
        <v>19</v>
      </c>
      <c r="C70" s="3">
        <v>10</v>
      </c>
      <c r="D70" s="3" t="s">
        <v>78</v>
      </c>
      <c r="E70" s="3" t="s">
        <v>11</v>
      </c>
      <c r="F70" s="3">
        <v>204</v>
      </c>
      <c r="G70" s="3"/>
    </row>
    <row r="71" spans="1:7" ht="15" customHeight="1">
      <c r="A71" s="2" t="s">
        <v>87</v>
      </c>
      <c r="B71" s="2" t="s">
        <v>21</v>
      </c>
      <c r="C71" s="2">
        <v>10</v>
      </c>
      <c r="D71" s="2" t="s">
        <v>78</v>
      </c>
      <c r="E71" s="2" t="s">
        <v>11</v>
      </c>
      <c r="F71" s="2">
        <v>195</v>
      </c>
      <c r="G71" s="2"/>
    </row>
    <row r="72" spans="1:7" ht="15" customHeight="1">
      <c r="A72" s="3" t="s">
        <v>88</v>
      </c>
      <c r="B72" s="3" t="s">
        <v>23</v>
      </c>
      <c r="C72" s="3">
        <v>10</v>
      </c>
      <c r="D72" s="3" t="s">
        <v>78</v>
      </c>
      <c r="E72" s="3" t="s">
        <v>11</v>
      </c>
      <c r="F72" s="3">
        <v>180</v>
      </c>
      <c r="G72" s="3"/>
    </row>
    <row r="73" spans="1:7" ht="15" customHeight="1">
      <c r="A73" s="2" t="s">
        <v>89</v>
      </c>
      <c r="B73" s="2" t="s">
        <v>9</v>
      </c>
      <c r="C73" s="2">
        <v>10</v>
      </c>
      <c r="D73" s="2" t="s">
        <v>78</v>
      </c>
      <c r="E73" s="2" t="s">
        <v>11</v>
      </c>
      <c r="F73" s="2">
        <v>166</v>
      </c>
      <c r="G73" s="2"/>
    </row>
    <row r="74" spans="1:7" ht="15" customHeight="1">
      <c r="A74" s="3" t="s">
        <v>90</v>
      </c>
      <c r="B74" s="3" t="s">
        <v>13</v>
      </c>
      <c r="C74" s="3">
        <v>10</v>
      </c>
      <c r="D74" s="3" t="s">
        <v>78</v>
      </c>
      <c r="E74" s="3" t="s">
        <v>11</v>
      </c>
      <c r="F74" s="3">
        <v>184</v>
      </c>
      <c r="G74" s="3"/>
    </row>
    <row r="75" spans="1:7" ht="15" customHeight="1">
      <c r="A75" s="2" t="s">
        <v>91</v>
      </c>
      <c r="B75" s="2" t="s">
        <v>15</v>
      </c>
      <c r="C75" s="2">
        <v>11</v>
      </c>
      <c r="D75" s="2" t="s">
        <v>78</v>
      </c>
      <c r="E75" s="2" t="s">
        <v>11</v>
      </c>
      <c r="F75" s="2">
        <v>191</v>
      </c>
      <c r="G75" s="2"/>
    </row>
    <row r="76" spans="1:7" ht="15" customHeight="1">
      <c r="A76" s="3" t="s">
        <v>92</v>
      </c>
      <c r="B76" s="3" t="s">
        <v>17</v>
      </c>
      <c r="C76" s="3">
        <v>11</v>
      </c>
      <c r="D76" s="3" t="s">
        <v>78</v>
      </c>
      <c r="E76" s="3" t="s">
        <v>11</v>
      </c>
      <c r="F76" s="3">
        <v>216</v>
      </c>
      <c r="G76" s="3"/>
    </row>
    <row r="77" spans="1:7" ht="15" customHeight="1">
      <c r="A77" s="2" t="s">
        <v>93</v>
      </c>
      <c r="B77" s="2" t="s">
        <v>19</v>
      </c>
      <c r="C77" s="2">
        <v>11</v>
      </c>
      <c r="D77" s="2" t="s">
        <v>78</v>
      </c>
      <c r="E77" s="2" t="s">
        <v>11</v>
      </c>
      <c r="F77" s="2">
        <v>154</v>
      </c>
      <c r="G77" s="2"/>
    </row>
    <row r="78" spans="1:7" ht="15" customHeight="1">
      <c r="A78" s="3" t="s">
        <v>94</v>
      </c>
      <c r="B78" s="3" t="s">
        <v>21</v>
      </c>
      <c r="C78" s="3">
        <v>11</v>
      </c>
      <c r="D78" s="3" t="s">
        <v>78</v>
      </c>
      <c r="E78" s="3" t="s">
        <v>11</v>
      </c>
      <c r="F78" s="3">
        <v>206</v>
      </c>
      <c r="G78" s="3"/>
    </row>
    <row r="79" spans="1:7" ht="15" customHeight="1">
      <c r="A79" s="2" t="s">
        <v>95</v>
      </c>
      <c r="B79" s="2" t="s">
        <v>23</v>
      </c>
      <c r="C79" s="2">
        <v>11</v>
      </c>
      <c r="D79" s="2" t="s">
        <v>78</v>
      </c>
      <c r="E79" s="2" t="s">
        <v>11</v>
      </c>
      <c r="F79" s="2">
        <v>195</v>
      </c>
      <c r="G79" s="2"/>
    </row>
    <row r="80" spans="1:7" ht="15" customHeight="1">
      <c r="A80" s="3" t="s">
        <v>96</v>
      </c>
      <c r="B80" s="3" t="s">
        <v>9</v>
      </c>
      <c r="C80" s="3">
        <v>11</v>
      </c>
      <c r="D80" s="3" t="s">
        <v>78</v>
      </c>
      <c r="E80" s="3" t="s">
        <v>11</v>
      </c>
      <c r="F80" s="3">
        <v>160</v>
      </c>
      <c r="G80" s="3"/>
    </row>
    <row r="81" spans="1:7" ht="15" customHeight="1">
      <c r="A81" s="2" t="s">
        <v>97</v>
      </c>
      <c r="B81" s="2" t="s">
        <v>13</v>
      </c>
      <c r="C81" s="2">
        <v>11</v>
      </c>
      <c r="D81" s="2" t="s">
        <v>78</v>
      </c>
      <c r="E81" s="2" t="s">
        <v>11</v>
      </c>
      <c r="F81" s="2">
        <v>167</v>
      </c>
      <c r="G81" s="2"/>
    </row>
    <row r="82" spans="1:7" ht="15" customHeight="1">
      <c r="A82" s="3" t="s">
        <v>98</v>
      </c>
      <c r="B82" s="3" t="s">
        <v>15</v>
      </c>
      <c r="C82" s="3">
        <v>12</v>
      </c>
      <c r="D82" s="3" t="s">
        <v>78</v>
      </c>
      <c r="E82" s="3" t="s">
        <v>11</v>
      </c>
      <c r="F82" s="3">
        <v>166</v>
      </c>
      <c r="G82" s="3"/>
    </row>
    <row r="83" spans="1:7" ht="15" customHeight="1">
      <c r="A83" s="2" t="s">
        <v>99</v>
      </c>
      <c r="B83" s="2" t="s">
        <v>17</v>
      </c>
      <c r="C83" s="2">
        <v>12</v>
      </c>
      <c r="D83" s="2" t="s">
        <v>78</v>
      </c>
      <c r="E83" s="2" t="s">
        <v>11</v>
      </c>
      <c r="F83" s="2">
        <v>193</v>
      </c>
      <c r="G83" s="2"/>
    </row>
    <row r="84" spans="1:7" ht="15" customHeight="1">
      <c r="A84" s="3" t="s">
        <v>100</v>
      </c>
      <c r="B84" s="3" t="s">
        <v>19</v>
      </c>
      <c r="C84" s="3">
        <v>12</v>
      </c>
      <c r="D84" s="3" t="s">
        <v>78</v>
      </c>
      <c r="E84" s="3" t="s">
        <v>11</v>
      </c>
      <c r="F84" s="3">
        <v>202</v>
      </c>
      <c r="G84" s="3"/>
    </row>
    <row r="85" spans="1:7" ht="15" customHeight="1">
      <c r="A85" s="2" t="s">
        <v>101</v>
      </c>
      <c r="B85" s="2" t="s">
        <v>21</v>
      </c>
      <c r="C85" s="2">
        <v>12</v>
      </c>
      <c r="D85" s="2" t="s">
        <v>78</v>
      </c>
      <c r="E85" s="2" t="s">
        <v>11</v>
      </c>
      <c r="F85" s="2">
        <v>220</v>
      </c>
      <c r="G85" s="2"/>
    </row>
    <row r="86" spans="1:7" ht="15" customHeight="1">
      <c r="A86" s="3" t="s">
        <v>102</v>
      </c>
      <c r="B86" s="3" t="s">
        <v>23</v>
      </c>
      <c r="C86" s="3">
        <v>12</v>
      </c>
      <c r="D86" s="3" t="s">
        <v>78</v>
      </c>
      <c r="E86" s="3" t="s">
        <v>11</v>
      </c>
      <c r="F86" s="3">
        <v>190</v>
      </c>
      <c r="G86" s="3"/>
    </row>
    <row r="87" spans="1:7" ht="15" customHeight="1">
      <c r="A87" s="2" t="s">
        <v>103</v>
      </c>
      <c r="B87" s="2" t="s">
        <v>9</v>
      </c>
      <c r="C87" s="2">
        <v>12</v>
      </c>
      <c r="D87" s="2" t="s">
        <v>78</v>
      </c>
      <c r="E87" s="2" t="s">
        <v>11</v>
      </c>
      <c r="F87" s="2">
        <v>157</v>
      </c>
      <c r="G87" s="2"/>
    </row>
    <row r="88" spans="1:7" ht="15" customHeight="1">
      <c r="A88" s="3" t="s">
        <v>104</v>
      </c>
      <c r="B88" s="3" t="s">
        <v>13</v>
      </c>
      <c r="C88" s="3">
        <v>12</v>
      </c>
      <c r="D88" s="3" t="s">
        <v>78</v>
      </c>
      <c r="E88" s="3" t="s">
        <v>11</v>
      </c>
      <c r="F88" s="3">
        <v>162</v>
      </c>
      <c r="G88" s="3"/>
    </row>
    <row r="89" spans="1:7" ht="15" customHeight="1">
      <c r="A89" s="2" t="s">
        <v>105</v>
      </c>
      <c r="B89" s="2" t="s">
        <v>15</v>
      </c>
      <c r="C89" s="2">
        <v>13</v>
      </c>
      <c r="D89" s="2" t="s">
        <v>78</v>
      </c>
      <c r="E89" s="2" t="s">
        <v>11</v>
      </c>
      <c r="F89" s="2">
        <v>214</v>
      </c>
      <c r="G89" s="2"/>
    </row>
    <row r="90" spans="1:7" ht="15" customHeight="1">
      <c r="A90" s="3" t="s">
        <v>106</v>
      </c>
      <c r="B90" s="3" t="s">
        <v>17</v>
      </c>
      <c r="C90" s="3">
        <v>13</v>
      </c>
      <c r="D90" s="3" t="s">
        <v>78</v>
      </c>
      <c r="E90" s="3" t="s">
        <v>11</v>
      </c>
      <c r="F90" s="3">
        <v>206</v>
      </c>
      <c r="G90" s="3"/>
    </row>
    <row r="91" spans="1:7" ht="15" customHeight="1">
      <c r="A91" s="2" t="s">
        <v>107</v>
      </c>
      <c r="B91" s="2" t="s">
        <v>19</v>
      </c>
      <c r="C91" s="2">
        <v>13</v>
      </c>
      <c r="D91" s="2" t="s">
        <v>78</v>
      </c>
      <c r="E91" s="2" t="s">
        <v>11</v>
      </c>
      <c r="F91" s="2">
        <v>193</v>
      </c>
      <c r="G91" s="2"/>
    </row>
    <row r="92" spans="1:7" ht="15" customHeight="1">
      <c r="A92" s="3" t="s">
        <v>108</v>
      </c>
      <c r="B92" s="3" t="s">
        <v>21</v>
      </c>
      <c r="C92" s="3">
        <v>13</v>
      </c>
      <c r="D92" s="3" t="s">
        <v>78</v>
      </c>
      <c r="E92" s="3" t="s">
        <v>11</v>
      </c>
      <c r="F92" s="3">
        <v>209</v>
      </c>
      <c r="G92" s="3"/>
    </row>
    <row r="93" spans="1:7" ht="15" customHeight="1">
      <c r="A93" s="2" t="s">
        <v>109</v>
      </c>
      <c r="B93" s="2" t="s">
        <v>23</v>
      </c>
      <c r="C93" s="2">
        <v>13</v>
      </c>
      <c r="D93" s="2" t="s">
        <v>110</v>
      </c>
      <c r="E93" s="2" t="s">
        <v>111</v>
      </c>
      <c r="F93" s="2">
        <v>204</v>
      </c>
      <c r="G93" s="2"/>
    </row>
    <row r="94" spans="1:7" ht="15" customHeight="1">
      <c r="A94" s="3" t="s">
        <v>112</v>
      </c>
      <c r="B94" s="3" t="s">
        <v>9</v>
      </c>
      <c r="C94" s="3">
        <v>13</v>
      </c>
      <c r="D94" s="3" t="s">
        <v>110</v>
      </c>
      <c r="E94" s="3" t="s">
        <v>111</v>
      </c>
      <c r="F94" s="3">
        <v>187</v>
      </c>
      <c r="G94" s="3"/>
    </row>
    <row r="95" spans="1:7" ht="15" customHeight="1">
      <c r="A95" s="2" t="s">
        <v>113</v>
      </c>
      <c r="B95" s="2" t="s">
        <v>13</v>
      </c>
      <c r="C95" s="2">
        <v>13</v>
      </c>
      <c r="D95" s="2" t="s">
        <v>110</v>
      </c>
      <c r="E95" s="2" t="s">
        <v>111</v>
      </c>
      <c r="F95" s="2">
        <v>163</v>
      </c>
      <c r="G95" s="2"/>
    </row>
    <row r="96" spans="1:7" ht="15" customHeight="1">
      <c r="A96" s="3" t="s">
        <v>114</v>
      </c>
      <c r="B96" s="3" t="s">
        <v>15</v>
      </c>
      <c r="C96" s="3">
        <v>14</v>
      </c>
      <c r="D96" s="3" t="s">
        <v>110</v>
      </c>
      <c r="E96" s="3" t="s">
        <v>111</v>
      </c>
      <c r="F96" s="3">
        <v>199</v>
      </c>
      <c r="G96" s="3"/>
    </row>
    <row r="97" spans="1:7" ht="15" customHeight="1">
      <c r="A97" s="2" t="s">
        <v>115</v>
      </c>
      <c r="B97" s="2" t="s">
        <v>17</v>
      </c>
      <c r="C97" s="2">
        <v>14</v>
      </c>
      <c r="D97" s="2" t="s">
        <v>110</v>
      </c>
      <c r="E97" s="2" t="s">
        <v>111</v>
      </c>
      <c r="F97" s="2">
        <v>199</v>
      </c>
      <c r="G97" s="2"/>
    </row>
    <row r="98" spans="1:7" ht="15" customHeight="1">
      <c r="A98" s="3" t="s">
        <v>116</v>
      </c>
      <c r="B98" s="3" t="s">
        <v>19</v>
      </c>
      <c r="C98" s="3">
        <v>14</v>
      </c>
      <c r="D98" s="3" t="s">
        <v>110</v>
      </c>
      <c r="E98" s="3" t="s">
        <v>111</v>
      </c>
      <c r="F98" s="3">
        <v>183</v>
      </c>
      <c r="G98" s="3"/>
    </row>
    <row r="99" spans="1:7" ht="15" customHeight="1">
      <c r="A99" s="2" t="s">
        <v>117</v>
      </c>
      <c r="B99" s="2" t="s">
        <v>21</v>
      </c>
      <c r="C99" s="2">
        <v>14</v>
      </c>
      <c r="D99" s="2" t="s">
        <v>110</v>
      </c>
      <c r="E99" s="2" t="s">
        <v>111</v>
      </c>
      <c r="F99" s="2">
        <v>210</v>
      </c>
      <c r="G99" s="2"/>
    </row>
    <row r="100" spans="1:7" ht="15" customHeight="1">
      <c r="A100" s="3" t="s">
        <v>118</v>
      </c>
      <c r="B100" s="3" t="s">
        <v>23</v>
      </c>
      <c r="C100" s="3">
        <v>14</v>
      </c>
      <c r="D100" s="3" t="s">
        <v>110</v>
      </c>
      <c r="E100" s="3" t="s">
        <v>111</v>
      </c>
      <c r="F100" s="3">
        <v>210</v>
      </c>
      <c r="G100" s="3"/>
    </row>
    <row r="101" spans="1:7" ht="15" customHeight="1">
      <c r="A101" s="2" t="s">
        <v>119</v>
      </c>
      <c r="B101" s="2" t="s">
        <v>9</v>
      </c>
      <c r="C101" s="2">
        <v>14</v>
      </c>
      <c r="D101" s="2" t="s">
        <v>110</v>
      </c>
      <c r="E101" s="2" t="s">
        <v>111</v>
      </c>
      <c r="F101" s="2">
        <v>177</v>
      </c>
      <c r="G101" s="2"/>
    </row>
    <row r="102" spans="1:7" ht="15" customHeight="1">
      <c r="A102" s="3" t="s">
        <v>120</v>
      </c>
      <c r="B102" s="3" t="s">
        <v>13</v>
      </c>
      <c r="C102" s="3">
        <v>14</v>
      </c>
      <c r="D102" s="3" t="s">
        <v>110</v>
      </c>
      <c r="E102" s="3" t="s">
        <v>111</v>
      </c>
      <c r="F102" s="3">
        <v>174</v>
      </c>
      <c r="G102" s="3"/>
    </row>
    <row r="103" spans="1:7" ht="15" customHeight="1">
      <c r="A103" s="2" t="s">
        <v>121</v>
      </c>
      <c r="B103" s="2" t="s">
        <v>15</v>
      </c>
      <c r="C103" s="2">
        <v>15</v>
      </c>
      <c r="D103" s="2" t="s">
        <v>110</v>
      </c>
      <c r="E103" s="2" t="s">
        <v>111</v>
      </c>
      <c r="F103" s="2">
        <v>187</v>
      </c>
      <c r="G103" s="2"/>
    </row>
    <row r="104" spans="1:7" ht="15" customHeight="1">
      <c r="A104" s="3" t="s">
        <v>122</v>
      </c>
      <c r="B104" s="3" t="s">
        <v>17</v>
      </c>
      <c r="C104" s="3">
        <v>15</v>
      </c>
      <c r="D104" s="3" t="s">
        <v>110</v>
      </c>
      <c r="E104" s="3" t="s">
        <v>111</v>
      </c>
      <c r="F104" s="3">
        <v>202</v>
      </c>
      <c r="G104" s="3"/>
    </row>
    <row r="105" spans="1:7" ht="15" customHeight="1">
      <c r="A105" s="2" t="s">
        <v>123</v>
      </c>
      <c r="B105" s="2" t="s">
        <v>19</v>
      </c>
      <c r="C105" s="2">
        <v>15</v>
      </c>
      <c r="D105" s="2" t="s">
        <v>110</v>
      </c>
      <c r="E105" s="2" t="s">
        <v>111</v>
      </c>
      <c r="F105" s="2">
        <v>204</v>
      </c>
      <c r="G105" s="2"/>
    </row>
    <row r="106" spans="1:7" ht="15" customHeight="1">
      <c r="A106" s="3" t="s">
        <v>124</v>
      </c>
      <c r="B106" s="3" t="s">
        <v>21</v>
      </c>
      <c r="C106" s="3">
        <v>15</v>
      </c>
      <c r="D106" s="3" t="s">
        <v>110</v>
      </c>
      <c r="E106" s="3" t="s">
        <v>111</v>
      </c>
      <c r="F106" s="3">
        <v>198</v>
      </c>
      <c r="G106" s="3"/>
    </row>
    <row r="107" spans="1:7" ht="15" customHeight="1">
      <c r="A107" s="2" t="s">
        <v>125</v>
      </c>
      <c r="B107" s="2" t="s">
        <v>23</v>
      </c>
      <c r="C107" s="2">
        <v>15</v>
      </c>
      <c r="D107" s="2" t="s">
        <v>110</v>
      </c>
      <c r="E107" s="2" t="s">
        <v>111</v>
      </c>
      <c r="F107" s="2">
        <v>208</v>
      </c>
      <c r="G107" s="2"/>
    </row>
    <row r="108" spans="1:7" ht="15" customHeight="1">
      <c r="A108" s="3" t="s">
        <v>126</v>
      </c>
      <c r="B108" s="3" t="s">
        <v>9</v>
      </c>
      <c r="C108" s="3">
        <v>15</v>
      </c>
      <c r="D108" s="3" t="s">
        <v>110</v>
      </c>
      <c r="E108" s="3" t="s">
        <v>111</v>
      </c>
      <c r="F108" s="3">
        <v>187</v>
      </c>
      <c r="G108" s="3"/>
    </row>
    <row r="109" spans="1:7" ht="15" customHeight="1">
      <c r="A109" s="2" t="s">
        <v>127</v>
      </c>
      <c r="B109" s="2" t="s">
        <v>13</v>
      </c>
      <c r="C109" s="2">
        <v>15</v>
      </c>
      <c r="D109" s="2" t="s">
        <v>110</v>
      </c>
      <c r="E109" s="2" t="s">
        <v>111</v>
      </c>
      <c r="F109" s="2">
        <v>210</v>
      </c>
      <c r="G109" s="2"/>
    </row>
    <row r="110" spans="1:7" ht="15" customHeight="1">
      <c r="A110" s="3" t="s">
        <v>128</v>
      </c>
      <c r="B110" s="3" t="s">
        <v>15</v>
      </c>
      <c r="C110" s="3">
        <v>16</v>
      </c>
      <c r="D110" s="3" t="s">
        <v>110</v>
      </c>
      <c r="E110" s="3" t="s">
        <v>111</v>
      </c>
      <c r="F110" s="3">
        <v>214</v>
      </c>
      <c r="G110" s="3"/>
    </row>
    <row r="111" spans="1:7" ht="15" customHeight="1">
      <c r="A111" s="2" t="s">
        <v>129</v>
      </c>
      <c r="B111" s="2" t="s">
        <v>17</v>
      </c>
      <c r="C111" s="2">
        <v>16</v>
      </c>
      <c r="D111" s="2" t="s">
        <v>110</v>
      </c>
      <c r="E111" s="2" t="s">
        <v>111</v>
      </c>
      <c r="F111" s="2">
        <v>216</v>
      </c>
      <c r="G111" s="2"/>
    </row>
    <row r="112" spans="1:7" ht="15" customHeight="1">
      <c r="A112" s="3" t="s">
        <v>130</v>
      </c>
      <c r="B112" s="3" t="s">
        <v>19</v>
      </c>
      <c r="C112" s="3">
        <v>16</v>
      </c>
      <c r="D112" s="3" t="s">
        <v>110</v>
      </c>
      <c r="E112" s="3" t="s">
        <v>111</v>
      </c>
      <c r="F112" s="3">
        <v>212</v>
      </c>
      <c r="G112" s="3"/>
    </row>
    <row r="113" spans="1:7" ht="15" customHeight="1">
      <c r="A113" s="2" t="s">
        <v>131</v>
      </c>
      <c r="B113" s="2" t="s">
        <v>21</v>
      </c>
      <c r="C113" s="2">
        <v>16</v>
      </c>
      <c r="D113" s="2" t="s">
        <v>110</v>
      </c>
      <c r="E113" s="2" t="s">
        <v>111</v>
      </c>
      <c r="F113" s="2">
        <v>185</v>
      </c>
      <c r="G113" s="2"/>
    </row>
    <row r="114" spans="1:7" ht="15" customHeight="1">
      <c r="A114" s="3" t="s">
        <v>132</v>
      </c>
      <c r="B114" s="3" t="s">
        <v>23</v>
      </c>
      <c r="C114" s="3">
        <v>16</v>
      </c>
      <c r="D114" s="3" t="s">
        <v>110</v>
      </c>
      <c r="E114" s="3" t="s">
        <v>111</v>
      </c>
      <c r="F114" s="3">
        <v>214</v>
      </c>
      <c r="G114" s="3"/>
    </row>
    <row r="115" spans="1:7" ht="15" customHeight="1">
      <c r="A115" s="2" t="s">
        <v>133</v>
      </c>
      <c r="B115" s="2" t="s">
        <v>9</v>
      </c>
      <c r="C115" s="2">
        <v>16</v>
      </c>
      <c r="D115" s="2" t="s">
        <v>110</v>
      </c>
      <c r="E115" s="2" t="s">
        <v>111</v>
      </c>
      <c r="F115" s="2">
        <v>185</v>
      </c>
      <c r="G115" s="2"/>
    </row>
    <row r="116" spans="1:7" ht="15" customHeight="1">
      <c r="A116" s="3" t="s">
        <v>134</v>
      </c>
      <c r="B116" s="3" t="s">
        <v>13</v>
      </c>
      <c r="C116" s="3">
        <v>16</v>
      </c>
      <c r="D116" s="3" t="s">
        <v>110</v>
      </c>
      <c r="E116" s="3" t="s">
        <v>111</v>
      </c>
      <c r="F116" s="3">
        <v>222</v>
      </c>
      <c r="G116" s="3"/>
    </row>
    <row r="117" spans="1:7" ht="15" customHeight="1">
      <c r="A117" s="2" t="s">
        <v>135</v>
      </c>
      <c r="B117" s="2" t="s">
        <v>15</v>
      </c>
      <c r="C117" s="2">
        <v>17</v>
      </c>
      <c r="D117" s="2" t="s">
        <v>110</v>
      </c>
      <c r="E117" s="2" t="s">
        <v>111</v>
      </c>
      <c r="F117" s="2">
        <v>213</v>
      </c>
      <c r="G117" s="2"/>
    </row>
    <row r="118" spans="1:7" ht="15" customHeight="1">
      <c r="A118" s="3" t="s">
        <v>136</v>
      </c>
      <c r="B118" s="3" t="s">
        <v>17</v>
      </c>
      <c r="C118" s="3">
        <v>17</v>
      </c>
      <c r="D118" s="3" t="s">
        <v>110</v>
      </c>
      <c r="E118" s="3" t="s">
        <v>111</v>
      </c>
      <c r="F118" s="3">
        <v>220</v>
      </c>
      <c r="G118" s="3"/>
    </row>
    <row r="119" spans="1:7" ht="15" customHeight="1">
      <c r="A119" s="2" t="s">
        <v>137</v>
      </c>
      <c r="B119" s="2" t="s">
        <v>19</v>
      </c>
      <c r="C119" s="2">
        <v>17</v>
      </c>
      <c r="D119" s="2" t="s">
        <v>110</v>
      </c>
      <c r="E119" s="2" t="s">
        <v>111</v>
      </c>
      <c r="F119" s="2">
        <v>216</v>
      </c>
      <c r="G119" s="2"/>
    </row>
    <row r="120" spans="1:7" ht="15" customHeight="1">
      <c r="A120" s="3" t="s">
        <v>138</v>
      </c>
      <c r="B120" s="3" t="s">
        <v>21</v>
      </c>
      <c r="C120" s="3">
        <v>17</v>
      </c>
      <c r="D120" s="3" t="s">
        <v>110</v>
      </c>
      <c r="E120" s="3" t="s">
        <v>111</v>
      </c>
      <c r="F120" s="3">
        <v>199</v>
      </c>
      <c r="G120" s="3"/>
    </row>
    <row r="121" spans="1:7" ht="15" customHeight="1">
      <c r="A121" s="2" t="s">
        <v>139</v>
      </c>
      <c r="B121" s="2" t="s">
        <v>23</v>
      </c>
      <c r="C121" s="2">
        <v>17</v>
      </c>
      <c r="D121" s="2" t="s">
        <v>110</v>
      </c>
      <c r="E121" s="2" t="s">
        <v>111</v>
      </c>
      <c r="F121" s="2">
        <v>235</v>
      </c>
      <c r="G121" s="2"/>
    </row>
    <row r="122" spans="1:7" ht="15" customHeight="1">
      <c r="A122" s="3" t="s">
        <v>140</v>
      </c>
      <c r="B122" s="3" t="s">
        <v>9</v>
      </c>
      <c r="C122" s="3">
        <v>17</v>
      </c>
      <c r="D122" s="3" t="s">
        <v>110</v>
      </c>
      <c r="E122" s="3" t="s">
        <v>111</v>
      </c>
      <c r="F122" s="3">
        <v>199</v>
      </c>
      <c r="G122" s="3"/>
    </row>
    <row r="123" spans="1:7" ht="15" customHeight="1">
      <c r="A123" s="2" t="s">
        <v>141</v>
      </c>
      <c r="B123" s="2" t="s">
        <v>13</v>
      </c>
      <c r="C123" s="2">
        <v>17</v>
      </c>
      <c r="D123" s="2" t="s">
        <v>142</v>
      </c>
      <c r="E123" s="2" t="s">
        <v>111</v>
      </c>
      <c r="F123" s="2">
        <v>200</v>
      </c>
      <c r="G123" s="2"/>
    </row>
    <row r="124" spans="1:7" ht="15" customHeight="1">
      <c r="A124" s="3" t="s">
        <v>143</v>
      </c>
      <c r="B124" s="3" t="s">
        <v>15</v>
      </c>
      <c r="C124" s="3">
        <v>18</v>
      </c>
      <c r="D124" s="3" t="s">
        <v>142</v>
      </c>
      <c r="E124" s="3" t="s">
        <v>111</v>
      </c>
      <c r="F124" s="3">
        <v>205</v>
      </c>
      <c r="G124" s="3"/>
    </row>
    <row r="125" spans="1:7" ht="15" customHeight="1">
      <c r="A125" s="2" t="s">
        <v>144</v>
      </c>
      <c r="B125" s="2" t="s">
        <v>17</v>
      </c>
      <c r="C125" s="2">
        <v>18</v>
      </c>
      <c r="D125" s="2" t="s">
        <v>142</v>
      </c>
      <c r="E125" s="2" t="s">
        <v>111</v>
      </c>
      <c r="F125" s="2">
        <v>240</v>
      </c>
      <c r="G125" s="2"/>
    </row>
    <row r="126" spans="1:7" ht="15" customHeight="1">
      <c r="A126" s="3" t="s">
        <v>145</v>
      </c>
      <c r="B126" s="3" t="s">
        <v>19</v>
      </c>
      <c r="C126" s="3">
        <v>18</v>
      </c>
      <c r="D126" s="3" t="s">
        <v>142</v>
      </c>
      <c r="E126" s="3" t="s">
        <v>111</v>
      </c>
      <c r="F126" s="3">
        <v>199</v>
      </c>
      <c r="G126" s="3"/>
    </row>
    <row r="127" spans="1:7" ht="15" customHeight="1">
      <c r="A127" s="2" t="s">
        <v>146</v>
      </c>
      <c r="B127" s="2" t="s">
        <v>21</v>
      </c>
      <c r="C127" s="2">
        <v>18</v>
      </c>
      <c r="D127" s="2" t="s">
        <v>142</v>
      </c>
      <c r="E127" s="2" t="s">
        <v>111</v>
      </c>
      <c r="F127" s="2">
        <v>229</v>
      </c>
      <c r="G127" s="2"/>
    </row>
    <row r="128" spans="1:7" ht="15" customHeight="1">
      <c r="A128" s="3" t="s">
        <v>147</v>
      </c>
      <c r="B128" s="3" t="s">
        <v>23</v>
      </c>
      <c r="C128" s="3">
        <v>18</v>
      </c>
      <c r="D128" s="3" t="s">
        <v>142</v>
      </c>
      <c r="E128" s="3" t="s">
        <v>111</v>
      </c>
      <c r="F128" s="3">
        <v>253</v>
      </c>
      <c r="G128" s="3"/>
    </row>
    <row r="129" spans="1:7" ht="15" customHeight="1">
      <c r="A129" s="2" t="s">
        <v>148</v>
      </c>
      <c r="B129" s="2" t="s">
        <v>9</v>
      </c>
      <c r="C129" s="2">
        <v>18</v>
      </c>
      <c r="D129" s="2" t="s">
        <v>142</v>
      </c>
      <c r="E129" s="2" t="s">
        <v>111</v>
      </c>
      <c r="F129" s="2">
        <v>176</v>
      </c>
      <c r="G129" s="2"/>
    </row>
    <row r="130" spans="1:7" ht="15" customHeight="1">
      <c r="A130" s="3" t="s">
        <v>149</v>
      </c>
      <c r="B130" s="3" t="s">
        <v>13</v>
      </c>
      <c r="C130" s="3">
        <v>18</v>
      </c>
      <c r="D130" s="3" t="s">
        <v>142</v>
      </c>
      <c r="E130" s="3" t="s">
        <v>111</v>
      </c>
      <c r="F130" s="3">
        <v>183</v>
      </c>
      <c r="G130" s="3"/>
    </row>
    <row r="131" spans="1:7" ht="15" customHeight="1">
      <c r="A131" s="2" t="s">
        <v>150</v>
      </c>
      <c r="B131" s="2" t="s">
        <v>15</v>
      </c>
      <c r="C131" s="2">
        <v>19</v>
      </c>
      <c r="D131" s="2" t="s">
        <v>142</v>
      </c>
      <c r="E131" s="2" t="s">
        <v>111</v>
      </c>
      <c r="F131" s="2">
        <v>223</v>
      </c>
      <c r="G131" s="2"/>
    </row>
    <row r="132" spans="1:7" ht="15" customHeight="1">
      <c r="A132" s="3" t="s">
        <v>151</v>
      </c>
      <c r="B132" s="3" t="s">
        <v>17</v>
      </c>
      <c r="C132" s="3">
        <v>19</v>
      </c>
      <c r="D132" s="3" t="s">
        <v>142</v>
      </c>
      <c r="E132" s="3" t="s">
        <v>111</v>
      </c>
      <c r="F132" s="3">
        <v>215</v>
      </c>
      <c r="G132" s="3"/>
    </row>
    <row r="133" spans="1:7" ht="15" customHeight="1">
      <c r="A133" s="2" t="s">
        <v>152</v>
      </c>
      <c r="B133" s="2" t="s">
        <v>19</v>
      </c>
      <c r="C133" s="2">
        <v>19</v>
      </c>
      <c r="D133" s="2" t="s">
        <v>142</v>
      </c>
      <c r="E133" s="2" t="s">
        <v>111</v>
      </c>
      <c r="F133" s="2">
        <v>199</v>
      </c>
      <c r="G133" s="2"/>
    </row>
    <row r="134" spans="1:7" ht="15" customHeight="1">
      <c r="A134" s="3" t="s">
        <v>153</v>
      </c>
      <c r="B134" s="3" t="s">
        <v>21</v>
      </c>
      <c r="C134" s="3">
        <v>19</v>
      </c>
      <c r="D134" s="3" t="s">
        <v>142</v>
      </c>
      <c r="E134" s="3" t="s">
        <v>111</v>
      </c>
      <c r="F134" s="3">
        <v>224</v>
      </c>
      <c r="G134" s="3"/>
    </row>
    <row r="135" spans="1:7" ht="15" customHeight="1">
      <c r="A135" s="2" t="s">
        <v>154</v>
      </c>
      <c r="B135" s="2" t="s">
        <v>23</v>
      </c>
      <c r="C135" s="2">
        <v>19</v>
      </c>
      <c r="D135" s="2" t="s">
        <v>142</v>
      </c>
      <c r="E135" s="2" t="s">
        <v>111</v>
      </c>
      <c r="F135" s="2">
        <v>208</v>
      </c>
      <c r="G135" s="2"/>
    </row>
    <row r="136" spans="1:7" ht="15" customHeight="1">
      <c r="A136" s="3" t="s">
        <v>155</v>
      </c>
      <c r="B136" s="3" t="s">
        <v>9</v>
      </c>
      <c r="C136" s="3">
        <v>19</v>
      </c>
      <c r="D136" s="3" t="s">
        <v>142</v>
      </c>
      <c r="E136" s="3" t="s">
        <v>111</v>
      </c>
      <c r="F136" s="3">
        <v>201</v>
      </c>
      <c r="G136" s="3"/>
    </row>
    <row r="137" spans="1:7" ht="15" customHeight="1">
      <c r="A137" s="2" t="s">
        <v>156</v>
      </c>
      <c r="B137" s="2" t="s">
        <v>13</v>
      </c>
      <c r="C137" s="2">
        <v>19</v>
      </c>
      <c r="D137" s="2" t="s">
        <v>142</v>
      </c>
      <c r="E137" s="2" t="s">
        <v>111</v>
      </c>
      <c r="F137" s="2">
        <v>180</v>
      </c>
      <c r="G137" s="2"/>
    </row>
    <row r="138" spans="1:7" ht="15" customHeight="1">
      <c r="A138" s="3" t="s">
        <v>157</v>
      </c>
      <c r="B138" s="3" t="s">
        <v>15</v>
      </c>
      <c r="C138" s="3">
        <v>20</v>
      </c>
      <c r="D138" s="3" t="s">
        <v>142</v>
      </c>
      <c r="E138" s="3" t="s">
        <v>111</v>
      </c>
      <c r="F138" s="3">
        <v>248</v>
      </c>
      <c r="G138" s="3"/>
    </row>
    <row r="139" spans="1:7" ht="15" customHeight="1">
      <c r="A139" s="2" t="s">
        <v>158</v>
      </c>
      <c r="B139" s="2" t="s">
        <v>17</v>
      </c>
      <c r="C139" s="2">
        <v>20</v>
      </c>
      <c r="D139" s="2" t="s">
        <v>142</v>
      </c>
      <c r="E139" s="2" t="s">
        <v>111</v>
      </c>
      <c r="F139" s="2">
        <v>213</v>
      </c>
      <c r="G139" s="2"/>
    </row>
    <row r="140" spans="1:7" ht="15" customHeight="1">
      <c r="A140" s="3" t="s">
        <v>159</v>
      </c>
      <c r="B140" s="3" t="s">
        <v>19</v>
      </c>
      <c r="C140" s="3">
        <v>20</v>
      </c>
      <c r="D140" s="3" t="s">
        <v>142</v>
      </c>
      <c r="E140" s="3" t="s">
        <v>111</v>
      </c>
      <c r="F140" s="3">
        <v>221</v>
      </c>
      <c r="G140" s="3"/>
    </row>
    <row r="141" spans="1:7" ht="15" customHeight="1">
      <c r="A141" s="2" t="s">
        <v>160</v>
      </c>
      <c r="B141" s="2" t="s">
        <v>21</v>
      </c>
      <c r="C141" s="2">
        <v>20</v>
      </c>
      <c r="D141" s="2" t="s">
        <v>142</v>
      </c>
      <c r="E141" s="2" t="s">
        <v>111</v>
      </c>
      <c r="F141" s="2">
        <v>238</v>
      </c>
      <c r="G141" s="2"/>
    </row>
    <row r="142" spans="1:7" ht="15" customHeight="1">
      <c r="A142" s="3" t="s">
        <v>161</v>
      </c>
      <c r="B142" s="3" t="s">
        <v>23</v>
      </c>
      <c r="C142" s="3">
        <v>20</v>
      </c>
      <c r="D142" s="3" t="s">
        <v>142</v>
      </c>
      <c r="E142" s="3" t="s">
        <v>111</v>
      </c>
      <c r="F142" s="3">
        <v>208</v>
      </c>
      <c r="G142" s="3"/>
    </row>
    <row r="143" spans="1:7" ht="15" customHeight="1">
      <c r="A143" s="2" t="s">
        <v>162</v>
      </c>
      <c r="B143" s="2" t="s">
        <v>9</v>
      </c>
      <c r="C143" s="2">
        <v>20</v>
      </c>
      <c r="D143" s="2" t="s">
        <v>142</v>
      </c>
      <c r="E143" s="2" t="s">
        <v>111</v>
      </c>
      <c r="F143" s="2">
        <v>200</v>
      </c>
      <c r="G143" s="2"/>
    </row>
    <row r="144" spans="1:7" ht="15" customHeight="1">
      <c r="A144" s="3" t="s">
        <v>163</v>
      </c>
      <c r="B144" s="3" t="s">
        <v>13</v>
      </c>
      <c r="C144" s="3">
        <v>20</v>
      </c>
      <c r="D144" s="3" t="s">
        <v>142</v>
      </c>
      <c r="E144" s="3" t="s">
        <v>111</v>
      </c>
      <c r="F144" s="3">
        <v>216</v>
      </c>
      <c r="G144" s="3"/>
    </row>
    <row r="145" spans="1:7" ht="15" customHeight="1">
      <c r="A145" s="2" t="s">
        <v>164</v>
      </c>
      <c r="B145" s="2" t="s">
        <v>15</v>
      </c>
      <c r="C145" s="2">
        <v>21</v>
      </c>
      <c r="D145" s="2" t="s">
        <v>142</v>
      </c>
      <c r="E145" s="2" t="s">
        <v>111</v>
      </c>
      <c r="F145" s="2">
        <v>203</v>
      </c>
      <c r="G145" s="2"/>
    </row>
    <row r="146" spans="1:7" ht="15" customHeight="1">
      <c r="A146" s="3" t="s">
        <v>165</v>
      </c>
      <c r="B146" s="3" t="s">
        <v>17</v>
      </c>
      <c r="C146" s="3">
        <v>21</v>
      </c>
      <c r="D146" s="3" t="s">
        <v>142</v>
      </c>
      <c r="E146" s="3" t="s">
        <v>111</v>
      </c>
      <c r="F146" s="3">
        <v>230</v>
      </c>
      <c r="G146" s="3"/>
    </row>
    <row r="147" spans="1:7" ht="15" customHeight="1">
      <c r="A147" s="2" t="s">
        <v>166</v>
      </c>
      <c r="B147" s="2" t="s">
        <v>19</v>
      </c>
      <c r="C147" s="2">
        <v>21</v>
      </c>
      <c r="D147" s="2" t="s">
        <v>142</v>
      </c>
      <c r="E147" s="2" t="s">
        <v>111</v>
      </c>
      <c r="F147" s="2">
        <v>232</v>
      </c>
      <c r="G147" s="2"/>
    </row>
    <row r="148" spans="1:7" ht="15" customHeight="1">
      <c r="A148" s="3" t="s">
        <v>167</v>
      </c>
      <c r="B148" s="3" t="s">
        <v>21</v>
      </c>
      <c r="C148" s="3">
        <v>21</v>
      </c>
      <c r="D148" s="3" t="s">
        <v>142</v>
      </c>
      <c r="E148" s="3" t="s">
        <v>111</v>
      </c>
      <c r="F148" s="3">
        <v>240</v>
      </c>
      <c r="G148" s="3"/>
    </row>
    <row r="149" spans="1:7" ht="15" customHeight="1">
      <c r="A149" s="2" t="s">
        <v>168</v>
      </c>
      <c r="B149" s="2" t="s">
        <v>23</v>
      </c>
      <c r="C149" s="2">
        <v>21</v>
      </c>
      <c r="D149" s="2" t="s">
        <v>142</v>
      </c>
      <c r="E149" s="2" t="s">
        <v>111</v>
      </c>
      <c r="F149" s="2">
        <v>210</v>
      </c>
      <c r="G149" s="2"/>
    </row>
    <row r="150" spans="1:7" ht="15" customHeight="1">
      <c r="A150" s="3" t="s">
        <v>169</v>
      </c>
      <c r="B150" s="3" t="s">
        <v>9</v>
      </c>
      <c r="C150" s="3">
        <v>21</v>
      </c>
      <c r="D150" s="3" t="s">
        <v>142</v>
      </c>
      <c r="E150" s="3" t="s">
        <v>111</v>
      </c>
      <c r="F150" s="3">
        <v>179</v>
      </c>
      <c r="G150" s="3"/>
    </row>
    <row r="151" spans="1:7" ht="15" customHeight="1">
      <c r="A151" s="2" t="s">
        <v>170</v>
      </c>
      <c r="B151" s="2" t="s">
        <v>13</v>
      </c>
      <c r="C151" s="2">
        <v>21</v>
      </c>
      <c r="D151" s="2" t="s">
        <v>142</v>
      </c>
      <c r="E151" s="2" t="s">
        <v>111</v>
      </c>
      <c r="F151" s="2">
        <v>207</v>
      </c>
      <c r="G151" s="2"/>
    </row>
    <row r="152" spans="1:7" ht="15" customHeight="1">
      <c r="A152" s="3" t="s">
        <v>171</v>
      </c>
      <c r="B152" s="3" t="s">
        <v>15</v>
      </c>
      <c r="C152" s="3">
        <v>22</v>
      </c>
      <c r="D152" s="3" t="s">
        <v>142</v>
      </c>
      <c r="E152" s="3" t="s">
        <v>111</v>
      </c>
      <c r="F152" s="3">
        <v>234</v>
      </c>
      <c r="G152" s="3"/>
    </row>
    <row r="153" spans="1:7" ht="15" customHeight="1">
      <c r="A153" s="2" t="s">
        <v>172</v>
      </c>
      <c r="B153" s="2" t="s">
        <v>17</v>
      </c>
      <c r="C153" s="2">
        <v>22</v>
      </c>
      <c r="D153" s="2" t="s">
        <v>142</v>
      </c>
      <c r="E153" s="2" t="s">
        <v>111</v>
      </c>
      <c r="F153" s="2">
        <v>233</v>
      </c>
      <c r="G153" s="2"/>
    </row>
    <row r="154" spans="1:7" ht="15" customHeight="1">
      <c r="A154" s="3" t="s">
        <v>173</v>
      </c>
      <c r="B154" s="3" t="s">
        <v>19</v>
      </c>
      <c r="C154" s="3">
        <v>22</v>
      </c>
      <c r="D154" s="3" t="s">
        <v>174</v>
      </c>
      <c r="E154" s="3" t="s">
        <v>111</v>
      </c>
      <c r="F154" s="3">
        <v>235</v>
      </c>
      <c r="G154" s="3"/>
    </row>
    <row r="155" spans="1:7" ht="15" customHeight="1">
      <c r="A155" s="2" t="s">
        <v>175</v>
      </c>
      <c r="B155" s="2" t="s">
        <v>21</v>
      </c>
      <c r="C155" s="2">
        <v>22</v>
      </c>
      <c r="D155" s="2" t="s">
        <v>174</v>
      </c>
      <c r="E155" s="2" t="s">
        <v>111</v>
      </c>
      <c r="F155" s="2">
        <v>220</v>
      </c>
      <c r="G155" s="2"/>
    </row>
    <row r="156" spans="1:7" ht="15" customHeight="1">
      <c r="A156" s="3" t="s">
        <v>176</v>
      </c>
      <c r="B156" s="3" t="s">
        <v>23</v>
      </c>
      <c r="C156" s="3">
        <v>22</v>
      </c>
      <c r="D156" s="3" t="s">
        <v>174</v>
      </c>
      <c r="E156" s="3" t="s">
        <v>111</v>
      </c>
      <c r="F156" s="3">
        <v>234</v>
      </c>
      <c r="G156" s="3"/>
    </row>
    <row r="157" spans="1:7" ht="15" customHeight="1">
      <c r="A157" s="2" t="s">
        <v>177</v>
      </c>
      <c r="B157" s="2" t="s">
        <v>9</v>
      </c>
      <c r="C157" s="2">
        <v>22</v>
      </c>
      <c r="D157" s="2" t="s">
        <v>174</v>
      </c>
      <c r="E157" s="2" t="s">
        <v>111</v>
      </c>
      <c r="F157" s="2">
        <v>205</v>
      </c>
      <c r="G157" s="2"/>
    </row>
    <row r="158" spans="1:7" ht="15" customHeight="1">
      <c r="A158" s="3" t="s">
        <v>178</v>
      </c>
      <c r="B158" s="3" t="s">
        <v>13</v>
      </c>
      <c r="C158" s="3">
        <v>22</v>
      </c>
      <c r="D158" s="3" t="s">
        <v>174</v>
      </c>
      <c r="E158" s="3" t="s">
        <v>111</v>
      </c>
      <c r="F158" s="3">
        <v>190</v>
      </c>
      <c r="G158" s="3"/>
    </row>
    <row r="159" spans="1:7" ht="15" customHeight="1">
      <c r="A159" s="2" t="s">
        <v>179</v>
      </c>
      <c r="B159" s="2" t="s">
        <v>15</v>
      </c>
      <c r="C159" s="2">
        <v>23</v>
      </c>
      <c r="D159" s="2" t="s">
        <v>174</v>
      </c>
      <c r="E159" s="2" t="s">
        <v>111</v>
      </c>
      <c r="F159" s="2">
        <v>259</v>
      </c>
      <c r="G159" s="2"/>
    </row>
    <row r="160" spans="1:7" ht="15" customHeight="1">
      <c r="A160" s="3" t="s">
        <v>180</v>
      </c>
      <c r="B160" s="3" t="s">
        <v>17</v>
      </c>
      <c r="C160" s="3">
        <v>23</v>
      </c>
      <c r="D160" s="3" t="s">
        <v>174</v>
      </c>
      <c r="E160" s="3" t="s">
        <v>111</v>
      </c>
      <c r="F160" s="3">
        <v>238</v>
      </c>
      <c r="G160" s="3"/>
    </row>
    <row r="161" spans="1:7" ht="15" customHeight="1">
      <c r="A161" s="2" t="s">
        <v>181</v>
      </c>
      <c r="B161" s="2" t="s">
        <v>19</v>
      </c>
      <c r="C161" s="2">
        <v>23</v>
      </c>
      <c r="D161" s="2" t="s">
        <v>174</v>
      </c>
      <c r="E161" s="2" t="s">
        <v>111</v>
      </c>
      <c r="F161" s="2">
        <v>213</v>
      </c>
      <c r="G161" s="2"/>
    </row>
    <row r="162" spans="1:7" ht="15" customHeight="1">
      <c r="A162" s="3" t="s">
        <v>182</v>
      </c>
      <c r="B162" s="3" t="s">
        <v>21</v>
      </c>
      <c r="C162" s="3">
        <v>23</v>
      </c>
      <c r="D162" s="3" t="s">
        <v>174</v>
      </c>
      <c r="E162" s="3" t="s">
        <v>111</v>
      </c>
      <c r="F162" s="3">
        <v>241</v>
      </c>
      <c r="G162" s="3"/>
    </row>
    <row r="163" spans="1:7" ht="15" customHeight="1">
      <c r="A163" s="2" t="s">
        <v>183</v>
      </c>
      <c r="B163" s="2" t="s">
        <v>23</v>
      </c>
      <c r="C163" s="2">
        <v>23</v>
      </c>
      <c r="D163" s="2" t="s">
        <v>174</v>
      </c>
      <c r="E163" s="2" t="s">
        <v>111</v>
      </c>
      <c r="F163" s="2">
        <v>217</v>
      </c>
      <c r="G163" s="2"/>
    </row>
    <row r="164" spans="1:7" ht="15" customHeight="1">
      <c r="A164" s="3" t="s">
        <v>184</v>
      </c>
      <c r="B164" s="3" t="s">
        <v>9</v>
      </c>
      <c r="C164" s="3">
        <v>23</v>
      </c>
      <c r="D164" s="3" t="s">
        <v>174</v>
      </c>
      <c r="E164" s="3" t="s">
        <v>111</v>
      </c>
      <c r="F164" s="3">
        <v>213</v>
      </c>
      <c r="G164" s="3"/>
    </row>
    <row r="165" spans="1:7" ht="15" customHeight="1">
      <c r="A165" s="2" t="s">
        <v>185</v>
      </c>
      <c r="B165" s="2" t="s">
        <v>13</v>
      </c>
      <c r="C165" s="2">
        <v>23</v>
      </c>
      <c r="D165" s="2" t="s">
        <v>174</v>
      </c>
      <c r="E165" s="2" t="s">
        <v>111</v>
      </c>
      <c r="F165" s="2">
        <v>219</v>
      </c>
      <c r="G165" s="2"/>
    </row>
    <row r="166" spans="1:7" ht="15" customHeight="1">
      <c r="A166" s="3" t="s">
        <v>186</v>
      </c>
      <c r="B166" s="3" t="s">
        <v>15</v>
      </c>
      <c r="C166" s="3">
        <v>24</v>
      </c>
      <c r="D166" s="3" t="s">
        <v>174</v>
      </c>
      <c r="E166" s="3" t="s">
        <v>111</v>
      </c>
      <c r="F166" s="3">
        <v>220</v>
      </c>
      <c r="G166" s="3"/>
    </row>
    <row r="167" spans="1:7" ht="15" customHeight="1">
      <c r="A167" s="2" t="s">
        <v>187</v>
      </c>
      <c r="B167" s="2" t="s">
        <v>17</v>
      </c>
      <c r="C167" s="2">
        <v>24</v>
      </c>
      <c r="D167" s="2" t="s">
        <v>174</v>
      </c>
      <c r="E167" s="2" t="s">
        <v>111</v>
      </c>
      <c r="F167" s="2">
        <v>246</v>
      </c>
      <c r="G167" s="2"/>
    </row>
    <row r="168" spans="1:7" ht="15" customHeight="1">
      <c r="A168" s="3" t="s">
        <v>188</v>
      </c>
      <c r="B168" s="3" t="s">
        <v>19</v>
      </c>
      <c r="C168" s="3">
        <v>24</v>
      </c>
      <c r="D168" s="3" t="s">
        <v>174</v>
      </c>
      <c r="E168" s="3" t="s">
        <v>111</v>
      </c>
      <c r="F168" s="3">
        <v>238</v>
      </c>
      <c r="G168" s="3"/>
    </row>
    <row r="169" spans="1:7" ht="15" customHeight="1">
      <c r="A169" s="2" t="s">
        <v>189</v>
      </c>
      <c r="B169" s="2" t="s">
        <v>21</v>
      </c>
      <c r="C169" s="2">
        <v>24</v>
      </c>
      <c r="D169" s="2" t="s">
        <v>174</v>
      </c>
      <c r="E169" s="2" t="s">
        <v>111</v>
      </c>
      <c r="F169" s="2">
        <v>245</v>
      </c>
      <c r="G169" s="2"/>
    </row>
    <row r="170" spans="1:7" ht="15" customHeight="1">
      <c r="A170" s="3" t="s">
        <v>190</v>
      </c>
      <c r="B170" s="3" t="s">
        <v>23</v>
      </c>
      <c r="C170" s="3">
        <v>24</v>
      </c>
      <c r="D170" s="3" t="s">
        <v>174</v>
      </c>
      <c r="E170" s="3" t="s">
        <v>111</v>
      </c>
      <c r="F170" s="3">
        <v>261</v>
      </c>
      <c r="G170" s="3"/>
    </row>
    <row r="171" spans="1:7" ht="15" customHeight="1">
      <c r="A171" s="2" t="s">
        <v>191</v>
      </c>
      <c r="B171" s="2" t="s">
        <v>9</v>
      </c>
      <c r="C171" s="2">
        <v>24</v>
      </c>
      <c r="D171" s="2" t="s">
        <v>174</v>
      </c>
      <c r="E171" s="2" t="s">
        <v>111</v>
      </c>
      <c r="F171" s="2">
        <v>199</v>
      </c>
      <c r="G171" s="2"/>
    </row>
    <row r="172" spans="1:7" ht="15" customHeight="1">
      <c r="A172" s="3" t="s">
        <v>192</v>
      </c>
      <c r="B172" s="3" t="s">
        <v>13</v>
      </c>
      <c r="C172" s="3">
        <v>24</v>
      </c>
      <c r="D172" s="3" t="s">
        <v>174</v>
      </c>
      <c r="E172" s="3" t="s">
        <v>111</v>
      </c>
      <c r="F172" s="3">
        <v>191</v>
      </c>
      <c r="G172" s="3"/>
    </row>
    <row r="173" spans="1:7" ht="15" customHeight="1">
      <c r="A173" s="2" t="s">
        <v>193</v>
      </c>
      <c r="B173" s="2" t="s">
        <v>15</v>
      </c>
      <c r="C173" s="2">
        <v>25</v>
      </c>
      <c r="D173" s="2" t="s">
        <v>174</v>
      </c>
      <c r="E173" s="2" t="s">
        <v>111</v>
      </c>
      <c r="F173" s="2">
        <v>219</v>
      </c>
      <c r="G173" s="2"/>
    </row>
    <row r="174" spans="1:7" ht="15" customHeight="1">
      <c r="A174" s="3" t="s">
        <v>194</v>
      </c>
      <c r="B174" s="3" t="s">
        <v>17</v>
      </c>
      <c r="C174" s="3">
        <v>25</v>
      </c>
      <c r="D174" s="3" t="s">
        <v>174</v>
      </c>
      <c r="E174" s="3" t="s">
        <v>111</v>
      </c>
      <c r="F174" s="3">
        <v>220</v>
      </c>
      <c r="G174" s="3"/>
    </row>
    <row r="175" spans="1:7" ht="15" customHeight="1">
      <c r="A175" s="2" t="s">
        <v>195</v>
      </c>
      <c r="B175" s="2" t="s">
        <v>19</v>
      </c>
      <c r="C175" s="2">
        <v>25</v>
      </c>
      <c r="D175" s="2" t="s">
        <v>174</v>
      </c>
      <c r="E175" s="2" t="s">
        <v>111</v>
      </c>
      <c r="F175" s="2">
        <v>232</v>
      </c>
      <c r="G175" s="2"/>
    </row>
    <row r="176" spans="1:7" ht="15" customHeight="1">
      <c r="A176" s="3" t="s">
        <v>196</v>
      </c>
      <c r="B176" s="3" t="s">
        <v>21</v>
      </c>
      <c r="C176" s="3">
        <v>25</v>
      </c>
      <c r="D176" s="3" t="s">
        <v>174</v>
      </c>
      <c r="E176" s="3" t="s">
        <v>111</v>
      </c>
      <c r="F176" s="3">
        <v>238</v>
      </c>
      <c r="G176" s="3"/>
    </row>
    <row r="177" spans="1:7" ht="15" customHeight="1">
      <c r="A177" s="2" t="s">
        <v>197</v>
      </c>
      <c r="B177" s="2" t="s">
        <v>23</v>
      </c>
      <c r="C177" s="2">
        <v>25</v>
      </c>
      <c r="D177" s="2" t="s">
        <v>174</v>
      </c>
      <c r="E177" s="2" t="s">
        <v>111</v>
      </c>
      <c r="F177" s="2">
        <v>237</v>
      </c>
      <c r="G177" s="2"/>
    </row>
    <row r="178" spans="1:7" ht="15" customHeight="1">
      <c r="A178" s="3" t="s">
        <v>198</v>
      </c>
      <c r="B178" s="3" t="s">
        <v>9</v>
      </c>
      <c r="C178" s="3">
        <v>25</v>
      </c>
      <c r="D178" s="3" t="s">
        <v>174</v>
      </c>
      <c r="E178" s="3" t="s">
        <v>111</v>
      </c>
      <c r="F178" s="3">
        <v>215</v>
      </c>
      <c r="G178" s="3"/>
    </row>
    <row r="179" spans="1:7" ht="15" customHeight="1">
      <c r="A179" s="2" t="s">
        <v>199</v>
      </c>
      <c r="B179" s="2" t="s">
        <v>13</v>
      </c>
      <c r="C179" s="2">
        <v>25</v>
      </c>
      <c r="D179" s="2" t="s">
        <v>174</v>
      </c>
      <c r="E179" s="2" t="s">
        <v>111</v>
      </c>
      <c r="F179" s="2">
        <v>203</v>
      </c>
      <c r="G179" s="2"/>
    </row>
    <row r="180" spans="1:7" ht="15" customHeight="1">
      <c r="A180" s="3" t="s">
        <v>200</v>
      </c>
      <c r="B180" s="3" t="s">
        <v>15</v>
      </c>
      <c r="C180" s="3">
        <v>26</v>
      </c>
      <c r="D180" s="3" t="s">
        <v>174</v>
      </c>
      <c r="E180" s="3" t="s">
        <v>111</v>
      </c>
      <c r="F180" s="3">
        <v>255</v>
      </c>
      <c r="G180" s="3"/>
    </row>
    <row r="181" spans="1:7" ht="15" customHeight="1">
      <c r="A181" s="2" t="s">
        <v>201</v>
      </c>
      <c r="B181" s="2" t="s">
        <v>17</v>
      </c>
      <c r="C181" s="2">
        <v>26</v>
      </c>
      <c r="D181" s="2" t="s">
        <v>174</v>
      </c>
      <c r="E181" s="2" t="s">
        <v>111</v>
      </c>
      <c r="F181" s="2">
        <v>229</v>
      </c>
      <c r="G181" s="2"/>
    </row>
    <row r="182" spans="1:7" ht="15" customHeight="1">
      <c r="A182" s="3" t="s">
        <v>202</v>
      </c>
      <c r="B182" s="3" t="s">
        <v>19</v>
      </c>
      <c r="C182" s="3">
        <v>26</v>
      </c>
      <c r="D182" s="3" t="s">
        <v>174</v>
      </c>
      <c r="E182" s="3" t="s">
        <v>111</v>
      </c>
      <c r="F182" s="3">
        <v>274</v>
      </c>
      <c r="G182" s="3"/>
    </row>
    <row r="183" spans="1:7" ht="15" customHeight="1">
      <c r="A183" s="2" t="s">
        <v>203</v>
      </c>
      <c r="B183" s="2" t="s">
        <v>21</v>
      </c>
      <c r="C183" s="2">
        <v>26</v>
      </c>
      <c r="D183" s="2" t="s">
        <v>174</v>
      </c>
      <c r="E183" s="2" t="s">
        <v>111</v>
      </c>
      <c r="F183" s="2">
        <v>242</v>
      </c>
      <c r="G183" s="2"/>
    </row>
    <row r="184" spans="1:7" ht="15" customHeight="1">
      <c r="A184" s="3" t="s">
        <v>204</v>
      </c>
      <c r="B184" s="3" t="s">
        <v>23</v>
      </c>
      <c r="C184" s="3">
        <v>26</v>
      </c>
      <c r="D184" s="3" t="s">
        <v>205</v>
      </c>
      <c r="E184" s="3" t="s">
        <v>206</v>
      </c>
      <c r="F184" s="3">
        <v>220</v>
      </c>
      <c r="G184" s="3"/>
    </row>
    <row r="185" spans="1:7" ht="15" customHeight="1">
      <c r="A185" s="2" t="s">
        <v>207</v>
      </c>
      <c r="B185" s="2" t="s">
        <v>9</v>
      </c>
      <c r="C185" s="2">
        <v>26</v>
      </c>
      <c r="D185" s="2" t="s">
        <v>205</v>
      </c>
      <c r="E185" s="2" t="s">
        <v>206</v>
      </c>
      <c r="F185" s="2">
        <v>187</v>
      </c>
      <c r="G185" s="2"/>
    </row>
    <row r="186" spans="1:7" ht="15" customHeight="1">
      <c r="A186" s="3" t="s">
        <v>208</v>
      </c>
      <c r="B186" s="3" t="s">
        <v>13</v>
      </c>
      <c r="C186" s="3">
        <v>26</v>
      </c>
      <c r="D186" s="3" t="s">
        <v>205</v>
      </c>
      <c r="E186" s="3" t="s">
        <v>206</v>
      </c>
      <c r="F186" s="3">
        <v>210</v>
      </c>
      <c r="G186" s="3"/>
    </row>
    <row r="187" spans="1:7" ht="15" customHeight="1">
      <c r="A187" s="2" t="s">
        <v>209</v>
      </c>
      <c r="B187" s="2" t="s">
        <v>15</v>
      </c>
      <c r="C187" s="2">
        <v>27</v>
      </c>
      <c r="D187" s="2" t="s">
        <v>205</v>
      </c>
      <c r="E187" s="2" t="s">
        <v>206</v>
      </c>
      <c r="F187" s="2">
        <v>229</v>
      </c>
      <c r="G187" s="2"/>
    </row>
    <row r="188" spans="1:7" ht="15" customHeight="1">
      <c r="A188" s="3" t="s">
        <v>210</v>
      </c>
      <c r="B188" s="3" t="s">
        <v>17</v>
      </c>
      <c r="C188" s="3">
        <v>27</v>
      </c>
      <c r="D188" s="3" t="s">
        <v>205</v>
      </c>
      <c r="E188" s="3" t="s">
        <v>206</v>
      </c>
      <c r="F188" s="3">
        <v>243</v>
      </c>
      <c r="G188" s="3"/>
    </row>
    <row r="189" spans="1:7" ht="15" customHeight="1">
      <c r="A189" s="2" t="s">
        <v>211</v>
      </c>
      <c r="B189" s="2" t="s">
        <v>19</v>
      </c>
      <c r="C189" s="2">
        <v>27</v>
      </c>
      <c r="D189" s="2" t="s">
        <v>205</v>
      </c>
      <c r="E189" s="2" t="s">
        <v>206</v>
      </c>
      <c r="F189" s="2">
        <v>240</v>
      </c>
      <c r="G189" s="2"/>
    </row>
    <row r="190" spans="1:7" ht="15" customHeight="1">
      <c r="A190" s="3" t="s">
        <v>212</v>
      </c>
      <c r="B190" s="3" t="s">
        <v>21</v>
      </c>
      <c r="C190" s="3">
        <v>27</v>
      </c>
      <c r="D190" s="3" t="s">
        <v>205</v>
      </c>
      <c r="E190" s="3" t="s">
        <v>206</v>
      </c>
      <c r="F190" s="3">
        <v>232</v>
      </c>
      <c r="G190" s="3"/>
    </row>
    <row r="191" spans="1:7" ht="15" customHeight="1">
      <c r="A191" s="2" t="s">
        <v>213</v>
      </c>
      <c r="B191" s="2" t="s">
        <v>23</v>
      </c>
      <c r="C191" s="2">
        <v>27</v>
      </c>
      <c r="D191" s="2" t="s">
        <v>205</v>
      </c>
      <c r="E191" s="2" t="s">
        <v>206</v>
      </c>
      <c r="F191" s="2">
        <v>220</v>
      </c>
      <c r="G191" s="2"/>
    </row>
    <row r="192" spans="1:7" ht="15" customHeight="1">
      <c r="A192" s="3" t="s">
        <v>214</v>
      </c>
      <c r="B192" s="3" t="s">
        <v>9</v>
      </c>
      <c r="C192" s="3">
        <v>27</v>
      </c>
      <c r="D192" s="3" t="s">
        <v>205</v>
      </c>
      <c r="E192" s="3" t="s">
        <v>206</v>
      </c>
      <c r="F192" s="3">
        <v>180</v>
      </c>
      <c r="G192" s="3"/>
    </row>
    <row r="193" spans="1:7" ht="15" customHeight="1">
      <c r="A193" s="2" t="s">
        <v>215</v>
      </c>
      <c r="B193" s="2" t="s">
        <v>13</v>
      </c>
      <c r="C193" s="2">
        <v>27</v>
      </c>
      <c r="D193" s="2" t="s">
        <v>205</v>
      </c>
      <c r="E193" s="2" t="s">
        <v>206</v>
      </c>
      <c r="F193" s="2">
        <v>196</v>
      </c>
      <c r="G193" s="2"/>
    </row>
    <row r="194" spans="1:7" ht="15" customHeight="1">
      <c r="A194" s="3" t="s">
        <v>216</v>
      </c>
      <c r="B194" s="3" t="s">
        <v>15</v>
      </c>
      <c r="C194" s="3">
        <v>28</v>
      </c>
      <c r="D194" s="3" t="s">
        <v>205</v>
      </c>
      <c r="E194" s="3" t="s">
        <v>206</v>
      </c>
      <c r="F194" s="3">
        <v>245</v>
      </c>
      <c r="G194" s="3"/>
    </row>
    <row r="195" spans="1:7" ht="15" customHeight="1">
      <c r="A195" s="2" t="s">
        <v>217</v>
      </c>
      <c r="B195" s="2" t="s">
        <v>17</v>
      </c>
      <c r="C195" s="2">
        <v>28</v>
      </c>
      <c r="D195" s="2" t="s">
        <v>205</v>
      </c>
      <c r="E195" s="2" t="s">
        <v>206</v>
      </c>
      <c r="F195" s="2">
        <v>235</v>
      </c>
      <c r="G195" s="2"/>
    </row>
    <row r="196" spans="1:7" ht="15" customHeight="1">
      <c r="A196" s="3" t="s">
        <v>218</v>
      </c>
      <c r="B196" s="3" t="s">
        <v>19</v>
      </c>
      <c r="C196" s="3">
        <v>28</v>
      </c>
      <c r="D196" s="3" t="s">
        <v>205</v>
      </c>
      <c r="E196" s="3" t="s">
        <v>206</v>
      </c>
      <c r="F196" s="3">
        <v>213</v>
      </c>
      <c r="G196" s="3"/>
    </row>
    <row r="197" spans="1:7" ht="15" customHeight="1">
      <c r="A197" s="2" t="s">
        <v>219</v>
      </c>
      <c r="B197" s="2" t="s">
        <v>21</v>
      </c>
      <c r="C197" s="2">
        <v>28</v>
      </c>
      <c r="D197" s="2" t="s">
        <v>205</v>
      </c>
      <c r="E197" s="2" t="s">
        <v>206</v>
      </c>
      <c r="F197" s="2">
        <v>235</v>
      </c>
      <c r="G197" s="2"/>
    </row>
    <row r="198" spans="1:7" ht="15" customHeight="1">
      <c r="A198" s="3" t="s">
        <v>220</v>
      </c>
      <c r="B198" s="3" t="s">
        <v>23</v>
      </c>
      <c r="C198" s="3">
        <v>28</v>
      </c>
      <c r="D198" s="3" t="s">
        <v>205</v>
      </c>
      <c r="E198" s="3" t="s">
        <v>206</v>
      </c>
      <c r="F198" s="3">
        <v>238</v>
      </c>
      <c r="G198" s="3"/>
    </row>
    <row r="199" spans="1:7" ht="15" customHeight="1">
      <c r="A199" s="2" t="s">
        <v>221</v>
      </c>
      <c r="B199" s="2" t="s">
        <v>9</v>
      </c>
      <c r="C199" s="2">
        <v>28</v>
      </c>
      <c r="D199" s="2" t="s">
        <v>205</v>
      </c>
      <c r="E199" s="2" t="s">
        <v>206</v>
      </c>
      <c r="F199" s="2">
        <v>188</v>
      </c>
      <c r="G199" s="2"/>
    </row>
    <row r="200" spans="1:7" ht="15" customHeight="1">
      <c r="A200" s="3" t="s">
        <v>222</v>
      </c>
      <c r="B200" s="3" t="s">
        <v>13</v>
      </c>
      <c r="C200" s="3">
        <v>28</v>
      </c>
      <c r="D200" s="3" t="s">
        <v>205</v>
      </c>
      <c r="E200" s="3" t="s">
        <v>206</v>
      </c>
      <c r="F200" s="3">
        <v>204</v>
      </c>
      <c r="G200" s="3"/>
    </row>
    <row r="201" spans="1:7" ht="15" customHeight="1">
      <c r="A201" s="2" t="s">
        <v>223</v>
      </c>
      <c r="B201" s="2" t="s">
        <v>15</v>
      </c>
      <c r="C201" s="2">
        <v>29</v>
      </c>
      <c r="D201" s="2" t="s">
        <v>205</v>
      </c>
      <c r="E201" s="2" t="s">
        <v>206</v>
      </c>
      <c r="F201" s="2">
        <v>232</v>
      </c>
      <c r="G201" s="2"/>
    </row>
    <row r="202" spans="1:7" ht="15" customHeight="1">
      <c r="A202" s="3" t="s">
        <v>224</v>
      </c>
      <c r="B202" s="3" t="s">
        <v>17</v>
      </c>
      <c r="C202" s="3">
        <v>29</v>
      </c>
      <c r="D202" s="3" t="s">
        <v>205</v>
      </c>
      <c r="E202" s="3" t="s">
        <v>206</v>
      </c>
      <c r="F202" s="3">
        <v>214</v>
      </c>
      <c r="G202" s="3"/>
    </row>
    <row r="203" spans="1:7" ht="15" customHeight="1">
      <c r="A203" s="2" t="s">
        <v>225</v>
      </c>
      <c r="B203" s="2" t="s">
        <v>19</v>
      </c>
      <c r="C203" s="2">
        <v>29</v>
      </c>
      <c r="D203" s="2" t="s">
        <v>205</v>
      </c>
      <c r="E203" s="2" t="s">
        <v>206</v>
      </c>
      <c r="F203" s="2">
        <v>236</v>
      </c>
      <c r="G203" s="2"/>
    </row>
    <row r="204" spans="1:7" ht="15" customHeight="1">
      <c r="A204" s="3" t="s">
        <v>226</v>
      </c>
      <c r="B204" s="3" t="s">
        <v>21</v>
      </c>
      <c r="C204" s="3">
        <v>29</v>
      </c>
      <c r="D204" s="3" t="s">
        <v>205</v>
      </c>
      <c r="E204" s="3" t="s">
        <v>206</v>
      </c>
      <c r="F204" s="3">
        <v>239</v>
      </c>
      <c r="G204" s="3"/>
    </row>
    <row r="205" spans="1:7" ht="15" customHeight="1">
      <c r="A205" s="2" t="s">
        <v>227</v>
      </c>
      <c r="B205" s="2" t="s">
        <v>23</v>
      </c>
      <c r="C205" s="2">
        <v>29</v>
      </c>
      <c r="D205" s="2" t="s">
        <v>205</v>
      </c>
      <c r="E205" s="2" t="s">
        <v>206</v>
      </c>
      <c r="F205" s="2">
        <v>247</v>
      </c>
      <c r="G205" s="2"/>
    </row>
    <row r="206" spans="1:7" ht="15" customHeight="1">
      <c r="A206" s="3" t="s">
        <v>228</v>
      </c>
      <c r="B206" s="3" t="s">
        <v>9</v>
      </c>
      <c r="C206" s="3">
        <v>29</v>
      </c>
      <c r="D206" s="3" t="s">
        <v>205</v>
      </c>
      <c r="E206" s="3" t="s">
        <v>206</v>
      </c>
      <c r="F206" s="3">
        <v>216</v>
      </c>
      <c r="G206" s="3"/>
    </row>
    <row r="207" spans="1:7" ht="15" customHeight="1">
      <c r="A207" s="2" t="s">
        <v>229</v>
      </c>
      <c r="B207" s="2" t="s">
        <v>13</v>
      </c>
      <c r="C207" s="2">
        <v>29</v>
      </c>
      <c r="D207" s="2" t="s">
        <v>205</v>
      </c>
      <c r="E207" s="2" t="s">
        <v>206</v>
      </c>
      <c r="F207" s="2">
        <v>180</v>
      </c>
      <c r="G207" s="2"/>
    </row>
    <row r="208" spans="1:7" ht="15" customHeight="1">
      <c r="A208" s="3" t="s">
        <v>230</v>
      </c>
      <c r="B208" s="3" t="s">
        <v>15</v>
      </c>
      <c r="C208" s="3">
        <v>30</v>
      </c>
      <c r="D208" s="3" t="s">
        <v>205</v>
      </c>
      <c r="E208" s="3" t="s">
        <v>206</v>
      </c>
      <c r="F208" s="3">
        <v>216</v>
      </c>
      <c r="G208" s="3"/>
    </row>
    <row r="209" spans="1:7" ht="15" customHeight="1">
      <c r="A209" s="2" t="s">
        <v>231</v>
      </c>
      <c r="B209" s="2" t="s">
        <v>17</v>
      </c>
      <c r="C209" s="2">
        <v>30</v>
      </c>
      <c r="D209" s="2" t="s">
        <v>205</v>
      </c>
      <c r="E209" s="2" t="s">
        <v>206</v>
      </c>
      <c r="F209" s="2">
        <v>238</v>
      </c>
      <c r="G209" s="2"/>
    </row>
    <row r="210" spans="1:7" ht="15" customHeight="1">
      <c r="A210" s="3" t="s">
        <v>232</v>
      </c>
      <c r="B210" s="3" t="s">
        <v>19</v>
      </c>
      <c r="C210" s="3">
        <v>30</v>
      </c>
      <c r="D210" s="3" t="s">
        <v>205</v>
      </c>
      <c r="E210" s="3" t="s">
        <v>206</v>
      </c>
      <c r="F210" s="3">
        <v>237</v>
      </c>
      <c r="G210" s="3"/>
    </row>
    <row r="211" spans="1:7" ht="15" customHeight="1">
      <c r="A211" s="2" t="s">
        <v>233</v>
      </c>
      <c r="B211" s="2" t="s">
        <v>21</v>
      </c>
      <c r="C211" s="2">
        <v>30</v>
      </c>
      <c r="D211" s="2" t="s">
        <v>205</v>
      </c>
      <c r="E211" s="2" t="s">
        <v>206</v>
      </c>
      <c r="F211" s="2">
        <v>237</v>
      </c>
      <c r="G211" s="2"/>
    </row>
    <row r="212" spans="1:7" ht="15" customHeight="1">
      <c r="A212" s="3" t="s">
        <v>234</v>
      </c>
      <c r="B212" s="3" t="s">
        <v>23</v>
      </c>
      <c r="C212" s="3">
        <v>30</v>
      </c>
      <c r="D212" s="3" t="s">
        <v>205</v>
      </c>
      <c r="E212" s="3" t="s">
        <v>206</v>
      </c>
      <c r="F212" s="3">
        <v>287</v>
      </c>
      <c r="G212" s="3"/>
    </row>
    <row r="213" spans="1:7" ht="15" customHeight="1">
      <c r="A213" s="2" t="s">
        <v>235</v>
      </c>
      <c r="B213" s="2" t="s">
        <v>9</v>
      </c>
      <c r="C213" s="2">
        <v>30</v>
      </c>
      <c r="D213" s="2" t="s">
        <v>205</v>
      </c>
      <c r="E213" s="2" t="s">
        <v>206</v>
      </c>
      <c r="F213" s="2">
        <v>207</v>
      </c>
      <c r="G213" s="2"/>
    </row>
    <row r="214" spans="1:7" ht="15" customHeight="1">
      <c r="A214" s="3" t="s">
        <v>236</v>
      </c>
      <c r="B214" s="3" t="s">
        <v>13</v>
      </c>
      <c r="C214" s="3">
        <v>30</v>
      </c>
      <c r="D214" s="3" t="s">
        <v>205</v>
      </c>
      <c r="E214" s="3" t="s">
        <v>206</v>
      </c>
      <c r="F214" s="3">
        <v>216</v>
      </c>
      <c r="G214" s="3"/>
    </row>
    <row r="215" spans="1:7" ht="15" customHeight="1">
      <c r="A215" s="2" t="s">
        <v>237</v>
      </c>
      <c r="B215" s="2" t="s">
        <v>15</v>
      </c>
      <c r="C215" s="2">
        <v>31</v>
      </c>
      <c r="D215" s="2" t="s">
        <v>238</v>
      </c>
      <c r="E215" s="2" t="s">
        <v>206</v>
      </c>
      <c r="F215" s="2">
        <v>243</v>
      </c>
      <c r="G215" s="2"/>
    </row>
    <row r="216" spans="1:7" ht="15" customHeight="1">
      <c r="A216" s="3" t="s">
        <v>239</v>
      </c>
      <c r="B216" s="3" t="s">
        <v>17</v>
      </c>
      <c r="C216" s="3">
        <v>31</v>
      </c>
      <c r="D216" s="3" t="s">
        <v>238</v>
      </c>
      <c r="E216" s="3" t="s">
        <v>206</v>
      </c>
      <c r="F216" s="3">
        <v>238</v>
      </c>
      <c r="G216" s="3"/>
    </row>
    <row r="217" spans="1:7" ht="15" customHeight="1">
      <c r="A217" s="2" t="s">
        <v>240</v>
      </c>
      <c r="B217" s="2" t="s">
        <v>19</v>
      </c>
      <c r="C217" s="2">
        <v>31</v>
      </c>
      <c r="D217" s="2" t="s">
        <v>238</v>
      </c>
      <c r="E217" s="2" t="s">
        <v>206</v>
      </c>
      <c r="F217" s="2">
        <v>223</v>
      </c>
      <c r="G217" s="2"/>
    </row>
    <row r="218" spans="1:7" ht="15" customHeight="1">
      <c r="A218" s="3" t="s">
        <v>241</v>
      </c>
      <c r="B218" s="3" t="s">
        <v>21</v>
      </c>
      <c r="C218" s="3">
        <v>31</v>
      </c>
      <c r="D218" s="3" t="s">
        <v>238</v>
      </c>
      <c r="E218" s="3" t="s">
        <v>206</v>
      </c>
      <c r="F218" s="3">
        <v>239</v>
      </c>
      <c r="G218" s="3"/>
    </row>
    <row r="219" spans="1:7" ht="15" customHeight="1">
      <c r="A219" s="2" t="s">
        <v>242</v>
      </c>
      <c r="B219" s="2" t="s">
        <v>23</v>
      </c>
      <c r="C219" s="2">
        <v>31</v>
      </c>
      <c r="D219" s="2" t="s">
        <v>238</v>
      </c>
      <c r="E219" s="2" t="s">
        <v>206</v>
      </c>
      <c r="F219" s="2">
        <v>216</v>
      </c>
      <c r="G219" s="2"/>
    </row>
    <row r="220" spans="1:7" ht="15" customHeight="1">
      <c r="A220" s="3" t="s">
        <v>243</v>
      </c>
      <c r="B220" s="3" t="s">
        <v>9</v>
      </c>
      <c r="C220" s="3">
        <v>31</v>
      </c>
      <c r="D220" s="3" t="s">
        <v>238</v>
      </c>
      <c r="E220" s="3" t="s">
        <v>206</v>
      </c>
      <c r="F220" s="3">
        <v>193</v>
      </c>
      <c r="G220" s="3"/>
    </row>
    <row r="221" spans="1:7" ht="15" customHeight="1">
      <c r="A221" s="2" t="s">
        <v>244</v>
      </c>
      <c r="B221" s="2" t="s">
        <v>13</v>
      </c>
      <c r="C221" s="2">
        <v>31</v>
      </c>
      <c r="D221" s="2" t="s">
        <v>238</v>
      </c>
      <c r="E221" s="2" t="s">
        <v>206</v>
      </c>
      <c r="F221" s="2">
        <v>189</v>
      </c>
      <c r="G221" s="2"/>
    </row>
    <row r="222" spans="1:7" ht="15" customHeight="1">
      <c r="A222" s="3" t="s">
        <v>245</v>
      </c>
      <c r="B222" s="3" t="s">
        <v>15</v>
      </c>
      <c r="C222" s="3">
        <v>32</v>
      </c>
      <c r="D222" s="3" t="s">
        <v>238</v>
      </c>
      <c r="E222" s="3" t="s">
        <v>206</v>
      </c>
      <c r="F222" s="3">
        <v>228</v>
      </c>
      <c r="G222" s="3"/>
    </row>
    <row r="223" spans="1:7" ht="15" customHeight="1">
      <c r="A223" s="2" t="s">
        <v>246</v>
      </c>
      <c r="B223" s="2" t="s">
        <v>17</v>
      </c>
      <c r="C223" s="2">
        <v>32</v>
      </c>
      <c r="D223" s="2" t="s">
        <v>238</v>
      </c>
      <c r="E223" s="2" t="s">
        <v>206</v>
      </c>
      <c r="F223" s="2">
        <v>261</v>
      </c>
      <c r="G223" s="2"/>
    </row>
    <row r="224" spans="1:7" ht="15" customHeight="1">
      <c r="A224" s="3" t="s">
        <v>247</v>
      </c>
      <c r="B224" s="3" t="s">
        <v>19</v>
      </c>
      <c r="C224" s="3">
        <v>32</v>
      </c>
      <c r="D224" s="3" t="s">
        <v>238</v>
      </c>
      <c r="E224" s="3" t="s">
        <v>206</v>
      </c>
      <c r="F224" s="3">
        <v>198</v>
      </c>
      <c r="G224" s="3"/>
    </row>
    <row r="225" spans="1:7" ht="15" customHeight="1">
      <c r="A225" s="2" t="s">
        <v>248</v>
      </c>
      <c r="B225" s="2" t="s">
        <v>21</v>
      </c>
      <c r="C225" s="2">
        <v>32</v>
      </c>
      <c r="D225" s="2" t="s">
        <v>238</v>
      </c>
      <c r="E225" s="2" t="s">
        <v>206</v>
      </c>
      <c r="F225" s="2">
        <v>236</v>
      </c>
      <c r="G225" s="2"/>
    </row>
    <row r="226" spans="1:7" ht="15" customHeight="1">
      <c r="A226" s="3" t="s">
        <v>249</v>
      </c>
      <c r="B226" s="3" t="s">
        <v>23</v>
      </c>
      <c r="C226" s="3">
        <v>32</v>
      </c>
      <c r="D226" s="3" t="s">
        <v>238</v>
      </c>
      <c r="E226" s="3" t="s">
        <v>206</v>
      </c>
      <c r="F226" s="3">
        <v>201</v>
      </c>
      <c r="G226" s="3"/>
    </row>
    <row r="227" spans="1:7" ht="15" customHeight="1">
      <c r="A227" s="2" t="s">
        <v>250</v>
      </c>
      <c r="B227" s="2" t="s">
        <v>9</v>
      </c>
      <c r="C227" s="2">
        <v>32</v>
      </c>
      <c r="D227" s="2" t="s">
        <v>238</v>
      </c>
      <c r="E227" s="2" t="s">
        <v>206</v>
      </c>
      <c r="F227" s="2">
        <v>188</v>
      </c>
      <c r="G227" s="2"/>
    </row>
    <row r="228" spans="1:7" ht="15" customHeight="1">
      <c r="A228" s="3" t="s">
        <v>251</v>
      </c>
      <c r="B228" s="3" t="s">
        <v>13</v>
      </c>
      <c r="C228" s="3">
        <v>32</v>
      </c>
      <c r="D228" s="3" t="s">
        <v>238</v>
      </c>
      <c r="E228" s="3" t="s">
        <v>206</v>
      </c>
      <c r="F228" s="3">
        <v>211</v>
      </c>
      <c r="G228" s="3"/>
    </row>
    <row r="229" spans="1:7" ht="15" customHeight="1">
      <c r="A229" s="2" t="s">
        <v>252</v>
      </c>
      <c r="B229" s="2" t="s">
        <v>15</v>
      </c>
      <c r="C229" s="2">
        <v>33</v>
      </c>
      <c r="D229" s="2" t="s">
        <v>238</v>
      </c>
      <c r="E229" s="2" t="s">
        <v>206</v>
      </c>
      <c r="F229" s="2">
        <v>225</v>
      </c>
      <c r="G229" s="2"/>
    </row>
    <row r="230" spans="1:7" ht="15" customHeight="1">
      <c r="A230" s="3" t="s">
        <v>253</v>
      </c>
      <c r="B230" s="3" t="s">
        <v>17</v>
      </c>
      <c r="C230" s="3">
        <v>33</v>
      </c>
      <c r="D230" s="3" t="s">
        <v>238</v>
      </c>
      <c r="E230" s="3" t="s">
        <v>206</v>
      </c>
      <c r="F230" s="3">
        <v>207</v>
      </c>
      <c r="G230" s="3"/>
    </row>
    <row r="231" spans="1:7" ht="15" customHeight="1">
      <c r="A231" s="2" t="s">
        <v>254</v>
      </c>
      <c r="B231" s="2" t="s">
        <v>19</v>
      </c>
      <c r="C231" s="2">
        <v>33</v>
      </c>
      <c r="D231" s="2" t="s">
        <v>238</v>
      </c>
      <c r="E231" s="2" t="s">
        <v>206</v>
      </c>
      <c r="F231" s="2">
        <v>213</v>
      </c>
      <c r="G231" s="2"/>
    </row>
    <row r="232" spans="1:7" ht="15" customHeight="1">
      <c r="A232" s="3" t="s">
        <v>255</v>
      </c>
      <c r="B232" s="3" t="s">
        <v>21</v>
      </c>
      <c r="C232" s="3">
        <v>33</v>
      </c>
      <c r="D232" s="3" t="s">
        <v>238</v>
      </c>
      <c r="E232" s="3" t="s">
        <v>206</v>
      </c>
      <c r="F232" s="3">
        <v>233</v>
      </c>
      <c r="G232" s="3"/>
    </row>
    <row r="233" spans="1:7" ht="15" customHeight="1">
      <c r="A233" s="2" t="s">
        <v>256</v>
      </c>
      <c r="B233" s="2" t="s">
        <v>23</v>
      </c>
      <c r="C233" s="2">
        <v>33</v>
      </c>
      <c r="D233" s="2" t="s">
        <v>238</v>
      </c>
      <c r="E233" s="2" t="s">
        <v>206</v>
      </c>
      <c r="F233" s="2">
        <v>212</v>
      </c>
      <c r="G233" s="2"/>
    </row>
    <row r="234" spans="1:7" ht="15" customHeight="1">
      <c r="A234" s="3" t="s">
        <v>257</v>
      </c>
      <c r="B234" s="3" t="s">
        <v>9</v>
      </c>
      <c r="C234" s="3">
        <v>33</v>
      </c>
      <c r="D234" s="3" t="s">
        <v>238</v>
      </c>
      <c r="E234" s="3" t="s">
        <v>206</v>
      </c>
      <c r="F234" s="3">
        <v>195</v>
      </c>
      <c r="G234" s="3"/>
    </row>
    <row r="235" spans="1:7" ht="15" customHeight="1">
      <c r="A235" s="2" t="s">
        <v>258</v>
      </c>
      <c r="B235" s="2" t="s">
        <v>13</v>
      </c>
      <c r="C235" s="2">
        <v>33</v>
      </c>
      <c r="D235" s="2" t="s">
        <v>238</v>
      </c>
      <c r="E235" s="2" t="s">
        <v>206</v>
      </c>
      <c r="F235" s="2">
        <v>192</v>
      </c>
      <c r="G235" s="2"/>
    </row>
    <row r="236" spans="1:7" ht="15" customHeight="1">
      <c r="A236" s="3" t="s">
        <v>259</v>
      </c>
      <c r="B236" s="3" t="s">
        <v>15</v>
      </c>
      <c r="C236" s="3">
        <v>34</v>
      </c>
      <c r="D236" s="3" t="s">
        <v>238</v>
      </c>
      <c r="E236" s="3" t="s">
        <v>206</v>
      </c>
      <c r="F236" s="3">
        <v>212</v>
      </c>
      <c r="G236" s="3"/>
    </row>
    <row r="237" spans="1:7" ht="15" customHeight="1">
      <c r="A237" s="2" t="s">
        <v>260</v>
      </c>
      <c r="B237" s="2" t="s">
        <v>17</v>
      </c>
      <c r="C237" s="2">
        <v>34</v>
      </c>
      <c r="D237" s="2" t="s">
        <v>238</v>
      </c>
      <c r="E237" s="2" t="s">
        <v>206</v>
      </c>
      <c r="F237" s="2">
        <v>253</v>
      </c>
      <c r="G237" s="2"/>
    </row>
    <row r="238" spans="1:7" ht="15" customHeight="1">
      <c r="A238" s="3" t="s">
        <v>261</v>
      </c>
      <c r="B238" s="3" t="s">
        <v>19</v>
      </c>
      <c r="C238" s="3">
        <v>34</v>
      </c>
      <c r="D238" s="3" t="s">
        <v>238</v>
      </c>
      <c r="E238" s="3" t="s">
        <v>206</v>
      </c>
      <c r="F238" s="3">
        <v>230</v>
      </c>
      <c r="G238" s="3"/>
    </row>
    <row r="239" spans="1:7" ht="15" customHeight="1">
      <c r="A239" s="2" t="s">
        <v>262</v>
      </c>
      <c r="B239" s="2" t="s">
        <v>21</v>
      </c>
      <c r="C239" s="2">
        <v>34</v>
      </c>
      <c r="D239" s="2" t="s">
        <v>238</v>
      </c>
      <c r="E239" s="2" t="s">
        <v>206</v>
      </c>
      <c r="F239" s="2">
        <v>190</v>
      </c>
      <c r="G239" s="2"/>
    </row>
    <row r="240" spans="1:7" ht="15" customHeight="1">
      <c r="A240" s="3" t="s">
        <v>263</v>
      </c>
      <c r="B240" s="3" t="s">
        <v>23</v>
      </c>
      <c r="C240" s="3">
        <v>34</v>
      </c>
      <c r="D240" s="3" t="s">
        <v>238</v>
      </c>
      <c r="E240" s="3" t="s">
        <v>206</v>
      </c>
      <c r="F240" s="3">
        <v>223</v>
      </c>
      <c r="G240" s="3"/>
    </row>
    <row r="241" spans="1:7" ht="15" customHeight="1">
      <c r="A241" s="2" t="s">
        <v>264</v>
      </c>
      <c r="B241" s="2" t="s">
        <v>9</v>
      </c>
      <c r="C241" s="2">
        <v>34</v>
      </c>
      <c r="D241" s="2" t="s">
        <v>238</v>
      </c>
      <c r="E241" s="2" t="s">
        <v>206</v>
      </c>
      <c r="F241" s="2">
        <v>180</v>
      </c>
      <c r="G241" s="2"/>
    </row>
    <row r="242" spans="1:7" ht="15" customHeight="1">
      <c r="A242" s="3" t="s">
        <v>265</v>
      </c>
      <c r="B242" s="3" t="s">
        <v>13</v>
      </c>
      <c r="C242" s="3">
        <v>34</v>
      </c>
      <c r="D242" s="3" t="s">
        <v>238</v>
      </c>
      <c r="E242" s="3" t="s">
        <v>206</v>
      </c>
      <c r="F242" s="3">
        <v>202</v>
      </c>
      <c r="G242" s="3"/>
    </row>
    <row r="243" spans="1:7" ht="15" customHeight="1">
      <c r="A243" s="2" t="s">
        <v>266</v>
      </c>
      <c r="B243" s="2" t="s">
        <v>15</v>
      </c>
      <c r="C243" s="2">
        <v>35</v>
      </c>
      <c r="D243" s="2" t="s">
        <v>238</v>
      </c>
      <c r="E243" s="2" t="s">
        <v>206</v>
      </c>
      <c r="F243" s="2">
        <v>207</v>
      </c>
      <c r="G243" s="2"/>
    </row>
    <row r="244" spans="1:7" ht="15" customHeight="1">
      <c r="A244" s="3" t="s">
        <v>267</v>
      </c>
      <c r="B244" s="3" t="s">
        <v>17</v>
      </c>
      <c r="C244" s="3">
        <v>35</v>
      </c>
      <c r="D244" s="3" t="s">
        <v>238</v>
      </c>
      <c r="E244" s="3" t="s">
        <v>206</v>
      </c>
      <c r="F244" s="3">
        <v>217</v>
      </c>
      <c r="G244" s="3"/>
    </row>
    <row r="245" spans="1:7" ht="15" customHeight="1">
      <c r="A245" s="2" t="s">
        <v>268</v>
      </c>
      <c r="B245" s="2" t="s">
        <v>19</v>
      </c>
      <c r="C245" s="2">
        <v>35</v>
      </c>
      <c r="D245" s="2" t="s">
        <v>238</v>
      </c>
      <c r="E245" s="2" t="s">
        <v>206</v>
      </c>
      <c r="F245" s="2">
        <v>225</v>
      </c>
      <c r="G245" s="2"/>
    </row>
    <row r="246" spans="1:7" ht="15" customHeight="1">
      <c r="A246" s="3" t="s">
        <v>269</v>
      </c>
      <c r="B246" s="3" t="s">
        <v>21</v>
      </c>
      <c r="C246" s="3">
        <v>35</v>
      </c>
      <c r="D246" s="3" t="s">
        <v>270</v>
      </c>
      <c r="E246" s="3" t="s">
        <v>206</v>
      </c>
      <c r="F246" s="3">
        <v>230</v>
      </c>
      <c r="G246" s="3"/>
    </row>
    <row r="247" spans="1:7" ht="15" customHeight="1">
      <c r="A247" s="2" t="s">
        <v>271</v>
      </c>
      <c r="B247" s="2" t="s">
        <v>23</v>
      </c>
      <c r="C247" s="2">
        <v>35</v>
      </c>
      <c r="D247" s="2" t="s">
        <v>270</v>
      </c>
      <c r="E247" s="2" t="s">
        <v>206</v>
      </c>
      <c r="F247" s="2">
        <v>199</v>
      </c>
      <c r="G247" s="2"/>
    </row>
    <row r="248" spans="1:7" ht="15" customHeight="1">
      <c r="A248" s="3" t="s">
        <v>272</v>
      </c>
      <c r="B248" s="3" t="s">
        <v>9</v>
      </c>
      <c r="C248" s="3">
        <v>35</v>
      </c>
      <c r="D248" s="3" t="s">
        <v>270</v>
      </c>
      <c r="E248" s="3" t="s">
        <v>206</v>
      </c>
      <c r="F248" s="3">
        <v>182</v>
      </c>
      <c r="G248" s="3"/>
    </row>
    <row r="249" spans="1:7" ht="15" customHeight="1">
      <c r="A249" s="2" t="s">
        <v>273</v>
      </c>
      <c r="B249" s="2" t="s">
        <v>13</v>
      </c>
      <c r="C249" s="2">
        <v>35</v>
      </c>
      <c r="D249" s="2" t="s">
        <v>270</v>
      </c>
      <c r="E249" s="2" t="s">
        <v>206</v>
      </c>
      <c r="F249" s="2">
        <v>179</v>
      </c>
      <c r="G249" s="2"/>
    </row>
    <row r="250" spans="1:7" ht="15" customHeight="1">
      <c r="A250" s="3" t="s">
        <v>274</v>
      </c>
      <c r="B250" s="3" t="s">
        <v>15</v>
      </c>
      <c r="C250" s="3">
        <v>36</v>
      </c>
      <c r="D250" s="3" t="s">
        <v>270</v>
      </c>
      <c r="E250" s="3" t="s">
        <v>206</v>
      </c>
      <c r="F250" s="3">
        <v>206</v>
      </c>
      <c r="G250" s="3"/>
    </row>
    <row r="251" spans="1:7" ht="15" customHeight="1">
      <c r="A251" s="2" t="s">
        <v>275</v>
      </c>
      <c r="B251" s="2" t="s">
        <v>17</v>
      </c>
      <c r="C251" s="2">
        <v>36</v>
      </c>
      <c r="D251" s="2" t="s">
        <v>270</v>
      </c>
      <c r="E251" s="2" t="s">
        <v>206</v>
      </c>
      <c r="F251" s="2">
        <v>242</v>
      </c>
      <c r="G251" s="2"/>
    </row>
    <row r="252" spans="1:7" ht="15" customHeight="1">
      <c r="A252" s="3" t="s">
        <v>276</v>
      </c>
      <c r="B252" s="3" t="s">
        <v>19</v>
      </c>
      <c r="C252" s="3">
        <v>36</v>
      </c>
      <c r="D252" s="3" t="s">
        <v>270</v>
      </c>
      <c r="E252" s="3" t="s">
        <v>206</v>
      </c>
      <c r="F252" s="3">
        <v>221</v>
      </c>
      <c r="G252" s="3"/>
    </row>
    <row r="253" spans="1:7" ht="15" customHeight="1">
      <c r="A253" s="2" t="s">
        <v>277</v>
      </c>
      <c r="B253" s="2" t="s">
        <v>21</v>
      </c>
      <c r="C253" s="2">
        <v>36</v>
      </c>
      <c r="D253" s="2" t="s">
        <v>270</v>
      </c>
      <c r="E253" s="2" t="s">
        <v>206</v>
      </c>
      <c r="F253" s="2">
        <v>196</v>
      </c>
      <c r="G253" s="2"/>
    </row>
    <row r="254" spans="1:7" ht="15" customHeight="1">
      <c r="A254" s="3" t="s">
        <v>278</v>
      </c>
      <c r="B254" s="3" t="s">
        <v>23</v>
      </c>
      <c r="C254" s="3">
        <v>36</v>
      </c>
      <c r="D254" s="3" t="s">
        <v>270</v>
      </c>
      <c r="E254" s="3" t="s">
        <v>206</v>
      </c>
      <c r="F254" s="3">
        <v>228</v>
      </c>
      <c r="G254" s="3"/>
    </row>
    <row r="255" spans="1:7" ht="15" customHeight="1">
      <c r="A255" s="2" t="s">
        <v>279</v>
      </c>
      <c r="B255" s="2" t="s">
        <v>9</v>
      </c>
      <c r="C255" s="2">
        <v>36</v>
      </c>
      <c r="D255" s="2" t="s">
        <v>270</v>
      </c>
      <c r="E255" s="2" t="s">
        <v>206</v>
      </c>
      <c r="F255" s="2">
        <v>215</v>
      </c>
      <c r="G255" s="2"/>
    </row>
    <row r="256" spans="1:7" ht="15" customHeight="1">
      <c r="A256" s="3" t="s">
        <v>280</v>
      </c>
      <c r="B256" s="3" t="s">
        <v>13</v>
      </c>
      <c r="C256" s="3">
        <v>36</v>
      </c>
      <c r="D256" s="3" t="s">
        <v>270</v>
      </c>
      <c r="E256" s="3" t="s">
        <v>206</v>
      </c>
      <c r="F256" s="3">
        <v>199</v>
      </c>
      <c r="G256" s="3"/>
    </row>
    <row r="257" spans="1:7" ht="15" customHeight="1">
      <c r="A257" s="2" t="s">
        <v>281</v>
      </c>
      <c r="B257" s="2" t="s">
        <v>15</v>
      </c>
      <c r="C257" s="2">
        <v>37</v>
      </c>
      <c r="D257" s="2" t="s">
        <v>270</v>
      </c>
      <c r="E257" s="2" t="s">
        <v>206</v>
      </c>
      <c r="F257" s="2">
        <v>190</v>
      </c>
      <c r="G257" s="2"/>
    </row>
    <row r="258" spans="1:7" ht="15" customHeight="1">
      <c r="A258" s="3" t="s">
        <v>282</v>
      </c>
      <c r="B258" s="3" t="s">
        <v>17</v>
      </c>
      <c r="C258" s="3">
        <v>37</v>
      </c>
      <c r="D258" s="3" t="s">
        <v>270</v>
      </c>
      <c r="E258" s="3" t="s">
        <v>206</v>
      </c>
      <c r="F258" s="3">
        <v>205</v>
      </c>
      <c r="G258" s="3"/>
    </row>
    <row r="259" spans="1:7" ht="15" customHeight="1">
      <c r="A259" s="2" t="s">
        <v>283</v>
      </c>
      <c r="B259" s="2" t="s">
        <v>19</v>
      </c>
      <c r="C259" s="2">
        <v>37</v>
      </c>
      <c r="D259" s="2" t="s">
        <v>270</v>
      </c>
      <c r="E259" s="2" t="s">
        <v>206</v>
      </c>
      <c r="F259" s="2">
        <v>231</v>
      </c>
      <c r="G259" s="2"/>
    </row>
    <row r="260" spans="1:7" ht="15" customHeight="1">
      <c r="A260" s="3" t="s">
        <v>284</v>
      </c>
      <c r="B260" s="3" t="s">
        <v>21</v>
      </c>
      <c r="C260" s="3">
        <v>37</v>
      </c>
      <c r="D260" s="3" t="s">
        <v>270</v>
      </c>
      <c r="E260" s="3" t="s">
        <v>206</v>
      </c>
      <c r="F260" s="3">
        <v>201</v>
      </c>
      <c r="G260" s="3"/>
    </row>
    <row r="261" spans="1:7" ht="15" customHeight="1">
      <c r="A261" s="2" t="s">
        <v>285</v>
      </c>
      <c r="B261" s="2" t="s">
        <v>23</v>
      </c>
      <c r="C261" s="2">
        <v>37</v>
      </c>
      <c r="D261" s="2" t="s">
        <v>270</v>
      </c>
      <c r="E261" s="2" t="s">
        <v>206</v>
      </c>
      <c r="F261" s="2">
        <v>218</v>
      </c>
      <c r="G261" s="2"/>
    </row>
    <row r="262" spans="1:7" ht="15" customHeight="1">
      <c r="A262" s="3" t="s">
        <v>286</v>
      </c>
      <c r="B262" s="3" t="s">
        <v>9</v>
      </c>
      <c r="C262" s="3">
        <v>37</v>
      </c>
      <c r="D262" s="3" t="s">
        <v>270</v>
      </c>
      <c r="E262" s="3" t="s">
        <v>206</v>
      </c>
      <c r="F262" s="3">
        <v>192</v>
      </c>
      <c r="G262" s="3"/>
    </row>
    <row r="263" spans="1:7" ht="15" customHeight="1">
      <c r="A263" s="2" t="s">
        <v>287</v>
      </c>
      <c r="B263" s="2" t="s">
        <v>13</v>
      </c>
      <c r="C263" s="2">
        <v>37</v>
      </c>
      <c r="D263" s="2" t="s">
        <v>270</v>
      </c>
      <c r="E263" s="2" t="s">
        <v>206</v>
      </c>
      <c r="F263" s="2">
        <v>166</v>
      </c>
      <c r="G263" s="2"/>
    </row>
    <row r="264" spans="1:7" ht="15" customHeight="1">
      <c r="A264" s="3" t="s">
        <v>288</v>
      </c>
      <c r="B264" s="3" t="s">
        <v>15</v>
      </c>
      <c r="C264" s="3">
        <v>38</v>
      </c>
      <c r="D264" s="3" t="s">
        <v>270</v>
      </c>
      <c r="E264" s="3" t="s">
        <v>206</v>
      </c>
      <c r="F264" s="3">
        <v>209</v>
      </c>
      <c r="G264" s="3"/>
    </row>
    <row r="265" spans="1:7" ht="15" customHeight="1">
      <c r="A265" s="2" t="s">
        <v>289</v>
      </c>
      <c r="B265" s="2" t="s">
        <v>17</v>
      </c>
      <c r="C265" s="2">
        <v>38</v>
      </c>
      <c r="D265" s="2" t="s">
        <v>270</v>
      </c>
      <c r="E265" s="2" t="s">
        <v>206</v>
      </c>
      <c r="F265" s="2">
        <v>161</v>
      </c>
      <c r="G265" s="2"/>
    </row>
    <row r="266" spans="1:7" ht="15" customHeight="1">
      <c r="A266" s="3" t="s">
        <v>290</v>
      </c>
      <c r="B266" s="3" t="s">
        <v>19</v>
      </c>
      <c r="C266" s="3">
        <v>38</v>
      </c>
      <c r="D266" s="3" t="s">
        <v>270</v>
      </c>
      <c r="E266" s="3" t="s">
        <v>206</v>
      </c>
      <c r="F266" s="3">
        <v>193</v>
      </c>
      <c r="G266" s="3"/>
    </row>
    <row r="267" spans="1:7" ht="15" customHeight="1">
      <c r="A267" s="2" t="s">
        <v>291</v>
      </c>
      <c r="B267" s="2" t="s">
        <v>21</v>
      </c>
      <c r="C267" s="2">
        <v>38</v>
      </c>
      <c r="D267" s="2" t="s">
        <v>270</v>
      </c>
      <c r="E267" s="2" t="s">
        <v>206</v>
      </c>
      <c r="F267" s="2">
        <v>205</v>
      </c>
      <c r="G267" s="2"/>
    </row>
    <row r="268" spans="1:7" ht="15" customHeight="1">
      <c r="A268" s="3" t="s">
        <v>292</v>
      </c>
      <c r="B268" s="3" t="s">
        <v>23</v>
      </c>
      <c r="C268" s="3">
        <v>38</v>
      </c>
      <c r="D268" s="3" t="s">
        <v>270</v>
      </c>
      <c r="E268" s="3" t="s">
        <v>206</v>
      </c>
      <c r="F268" s="3">
        <v>189</v>
      </c>
      <c r="G268" s="3"/>
    </row>
    <row r="269" spans="1:7" ht="15" customHeight="1">
      <c r="A269" s="2" t="s">
        <v>293</v>
      </c>
      <c r="B269" s="2" t="s">
        <v>9</v>
      </c>
      <c r="C269" s="2">
        <v>38</v>
      </c>
      <c r="D269" s="2" t="s">
        <v>270</v>
      </c>
      <c r="E269" s="2" t="s">
        <v>206</v>
      </c>
      <c r="F269" s="2">
        <v>202</v>
      </c>
      <c r="G269" s="2"/>
    </row>
    <row r="270" spans="1:7" ht="15" customHeight="1">
      <c r="A270" s="3" t="s">
        <v>294</v>
      </c>
      <c r="B270" s="3" t="s">
        <v>13</v>
      </c>
      <c r="C270" s="3">
        <v>38</v>
      </c>
      <c r="D270" s="3" t="s">
        <v>270</v>
      </c>
      <c r="E270" s="3" t="s">
        <v>206</v>
      </c>
      <c r="F270" s="3">
        <v>156</v>
      </c>
      <c r="G270" s="3"/>
    </row>
    <row r="271" spans="1:7" ht="15" customHeight="1">
      <c r="A271" s="2" t="s">
        <v>295</v>
      </c>
      <c r="B271" s="2" t="s">
        <v>15</v>
      </c>
      <c r="C271" s="2">
        <v>39</v>
      </c>
      <c r="D271" s="2" t="s">
        <v>270</v>
      </c>
      <c r="E271" s="2" t="s">
        <v>206</v>
      </c>
      <c r="F271" s="2">
        <v>200</v>
      </c>
      <c r="G271" s="2"/>
    </row>
    <row r="272" spans="1:7" ht="15" customHeight="1">
      <c r="A272" s="3" t="s">
        <v>296</v>
      </c>
      <c r="B272" s="3" t="s">
        <v>17</v>
      </c>
      <c r="C272" s="3">
        <v>39</v>
      </c>
      <c r="D272" s="3" t="s">
        <v>270</v>
      </c>
      <c r="E272" s="3" t="s">
        <v>206</v>
      </c>
      <c r="F272" s="3">
        <v>208</v>
      </c>
      <c r="G272" s="3"/>
    </row>
    <row r="273" spans="1:7" ht="15" customHeight="1">
      <c r="A273" s="2" t="s">
        <v>297</v>
      </c>
      <c r="B273" s="2" t="s">
        <v>19</v>
      </c>
      <c r="C273" s="2">
        <v>39</v>
      </c>
      <c r="D273" s="2" t="s">
        <v>270</v>
      </c>
      <c r="E273" s="2" t="s">
        <v>206</v>
      </c>
      <c r="F273" s="2">
        <v>203</v>
      </c>
      <c r="G273" s="2"/>
    </row>
    <row r="274" spans="1:7" ht="15" customHeight="1">
      <c r="A274" s="3" t="s">
        <v>298</v>
      </c>
      <c r="B274" s="3" t="s">
        <v>21</v>
      </c>
      <c r="C274" s="3">
        <v>39</v>
      </c>
      <c r="D274" s="3" t="s">
        <v>270</v>
      </c>
      <c r="E274" s="3" t="s">
        <v>206</v>
      </c>
      <c r="F274" s="3">
        <v>161</v>
      </c>
      <c r="G274" s="3"/>
    </row>
    <row r="275" spans="1:7" ht="15" customHeight="1">
      <c r="A275" s="2" t="s">
        <v>299</v>
      </c>
      <c r="B275" s="2" t="s">
        <v>23</v>
      </c>
      <c r="C275" s="2">
        <v>39</v>
      </c>
      <c r="D275" s="2" t="s">
        <v>270</v>
      </c>
      <c r="E275" s="2" t="s">
        <v>206</v>
      </c>
      <c r="F275" s="2">
        <v>200</v>
      </c>
      <c r="G275" s="2"/>
    </row>
    <row r="276" spans="1:7" ht="15" customHeight="1">
      <c r="A276" s="3" t="s">
        <v>300</v>
      </c>
      <c r="B276" s="3" t="s">
        <v>9</v>
      </c>
      <c r="C276" s="3">
        <v>39</v>
      </c>
      <c r="D276" s="3" t="s">
        <v>301</v>
      </c>
      <c r="E276" s="3" t="s">
        <v>302</v>
      </c>
      <c r="F276" s="3">
        <v>153</v>
      </c>
      <c r="G276" s="3"/>
    </row>
    <row r="277" spans="1:7" ht="15" customHeight="1">
      <c r="A277" s="2" t="s">
        <v>303</v>
      </c>
      <c r="B277" s="2" t="s">
        <v>13</v>
      </c>
      <c r="C277" s="2">
        <v>39</v>
      </c>
      <c r="D277" s="2" t="s">
        <v>301</v>
      </c>
      <c r="E277" s="2" t="s">
        <v>302</v>
      </c>
      <c r="F277" s="2">
        <v>138</v>
      </c>
      <c r="G277" s="2"/>
    </row>
    <row r="278" spans="1:7" ht="15" customHeight="1">
      <c r="A278" s="3" t="s">
        <v>304</v>
      </c>
      <c r="B278" s="3" t="s">
        <v>15</v>
      </c>
      <c r="C278" s="3">
        <v>40</v>
      </c>
      <c r="D278" s="3" t="s">
        <v>301</v>
      </c>
      <c r="E278" s="3" t="s">
        <v>302</v>
      </c>
      <c r="F278" s="3">
        <v>190</v>
      </c>
      <c r="G278" s="3"/>
    </row>
    <row r="279" spans="1:7" ht="15" customHeight="1">
      <c r="A279" s="2" t="s">
        <v>305</v>
      </c>
      <c r="B279" s="2" t="s">
        <v>17</v>
      </c>
      <c r="C279" s="2">
        <v>40</v>
      </c>
      <c r="D279" s="2" t="s">
        <v>301</v>
      </c>
      <c r="E279" s="2" t="s">
        <v>302</v>
      </c>
      <c r="F279" s="2">
        <v>187</v>
      </c>
      <c r="G279" s="2"/>
    </row>
    <row r="280" spans="1:7" ht="15" customHeight="1">
      <c r="A280" s="3" t="s">
        <v>306</v>
      </c>
      <c r="B280" s="3" t="s">
        <v>19</v>
      </c>
      <c r="C280" s="3">
        <v>40</v>
      </c>
      <c r="D280" s="3" t="s">
        <v>301</v>
      </c>
      <c r="E280" s="3" t="s">
        <v>302</v>
      </c>
      <c r="F280" s="3">
        <v>175</v>
      </c>
      <c r="G280" s="3"/>
    </row>
    <row r="281" spans="1:7" ht="15" customHeight="1">
      <c r="A281" s="2" t="s">
        <v>307</v>
      </c>
      <c r="B281" s="2" t="s">
        <v>21</v>
      </c>
      <c r="C281" s="2">
        <v>40</v>
      </c>
      <c r="D281" s="2" t="s">
        <v>301</v>
      </c>
      <c r="E281" s="2" t="s">
        <v>302</v>
      </c>
      <c r="F281" s="2">
        <v>186</v>
      </c>
      <c r="G281" s="2"/>
    </row>
    <row r="282" spans="1:7" ht="15" customHeight="1">
      <c r="A282" s="3" t="s">
        <v>308</v>
      </c>
      <c r="B282" s="3" t="s">
        <v>23</v>
      </c>
      <c r="C282" s="3">
        <v>40</v>
      </c>
      <c r="D282" s="3" t="s">
        <v>301</v>
      </c>
      <c r="E282" s="3" t="s">
        <v>302</v>
      </c>
      <c r="F282" s="3">
        <v>179</v>
      </c>
      <c r="G282" s="3"/>
    </row>
    <row r="283" spans="1:7" ht="15" customHeight="1">
      <c r="A283" s="2" t="s">
        <v>309</v>
      </c>
      <c r="B283" s="2" t="s">
        <v>9</v>
      </c>
      <c r="C283" s="2">
        <v>40</v>
      </c>
      <c r="D283" s="2" t="s">
        <v>301</v>
      </c>
      <c r="E283" s="2" t="s">
        <v>302</v>
      </c>
      <c r="F283" s="2">
        <v>157</v>
      </c>
      <c r="G283" s="2"/>
    </row>
    <row r="284" spans="1:7" ht="15" customHeight="1">
      <c r="A284" s="3" t="s">
        <v>310</v>
      </c>
      <c r="B284" s="3" t="s">
        <v>13</v>
      </c>
      <c r="C284" s="3">
        <v>40</v>
      </c>
      <c r="D284" s="3" t="s">
        <v>301</v>
      </c>
      <c r="E284" s="3" t="s">
        <v>302</v>
      </c>
      <c r="F284" s="3">
        <v>166</v>
      </c>
      <c r="G284" s="3"/>
    </row>
    <row r="285" spans="1:7" ht="15" customHeight="1">
      <c r="A285" s="2" t="s">
        <v>311</v>
      </c>
      <c r="B285" s="2" t="s">
        <v>15</v>
      </c>
      <c r="C285" s="2">
        <v>41</v>
      </c>
      <c r="D285" s="2" t="s">
        <v>301</v>
      </c>
      <c r="E285" s="2" t="s">
        <v>302</v>
      </c>
      <c r="F285" s="2">
        <v>210</v>
      </c>
      <c r="G285" s="2"/>
    </row>
    <row r="286" spans="1:7" ht="15" customHeight="1">
      <c r="A286" s="3" t="s">
        <v>312</v>
      </c>
      <c r="B286" s="3" t="s">
        <v>17</v>
      </c>
      <c r="C286" s="3">
        <v>41</v>
      </c>
      <c r="D286" s="3" t="s">
        <v>301</v>
      </c>
      <c r="E286" s="3" t="s">
        <v>302</v>
      </c>
      <c r="F286" s="3">
        <v>168</v>
      </c>
      <c r="G286" s="3"/>
    </row>
    <row r="287" spans="1:7" ht="15" customHeight="1">
      <c r="A287" s="2" t="s">
        <v>313</v>
      </c>
      <c r="B287" s="2" t="s">
        <v>19</v>
      </c>
      <c r="C287" s="2">
        <v>41</v>
      </c>
      <c r="D287" s="2" t="s">
        <v>301</v>
      </c>
      <c r="E287" s="2" t="s">
        <v>302</v>
      </c>
      <c r="F287" s="2">
        <v>219</v>
      </c>
      <c r="G287" s="2"/>
    </row>
    <row r="288" spans="1:7" ht="15" customHeight="1">
      <c r="A288" s="3" t="s">
        <v>314</v>
      </c>
      <c r="B288" s="3" t="s">
        <v>21</v>
      </c>
      <c r="C288" s="3">
        <v>41</v>
      </c>
      <c r="D288" s="3" t="s">
        <v>301</v>
      </c>
      <c r="E288" s="3" t="s">
        <v>302</v>
      </c>
      <c r="F288" s="3">
        <v>158</v>
      </c>
      <c r="G288" s="3"/>
    </row>
    <row r="289" spans="1:7" ht="15" customHeight="1">
      <c r="A289" s="2" t="s">
        <v>315</v>
      </c>
      <c r="B289" s="2" t="s">
        <v>23</v>
      </c>
      <c r="C289" s="2">
        <v>41</v>
      </c>
      <c r="D289" s="2" t="s">
        <v>301</v>
      </c>
      <c r="E289" s="2" t="s">
        <v>302</v>
      </c>
      <c r="F289" s="2">
        <v>186</v>
      </c>
      <c r="G289" s="2"/>
    </row>
    <row r="290" spans="1:7" ht="15" customHeight="1">
      <c r="A290" s="3" t="s">
        <v>316</v>
      </c>
      <c r="B290" s="3" t="s">
        <v>9</v>
      </c>
      <c r="C290" s="3">
        <v>41</v>
      </c>
      <c r="D290" s="3" t="s">
        <v>301</v>
      </c>
      <c r="E290" s="3" t="s">
        <v>302</v>
      </c>
      <c r="F290" s="3">
        <v>167</v>
      </c>
      <c r="G290" s="3"/>
    </row>
    <row r="291" spans="1:7" ht="15" customHeight="1">
      <c r="A291" s="2" t="s">
        <v>317</v>
      </c>
      <c r="B291" s="2" t="s">
        <v>13</v>
      </c>
      <c r="C291" s="2">
        <v>41</v>
      </c>
      <c r="D291" s="2" t="s">
        <v>301</v>
      </c>
      <c r="E291" s="2" t="s">
        <v>302</v>
      </c>
      <c r="F291" s="2">
        <v>163</v>
      </c>
      <c r="G291" s="2"/>
    </row>
    <row r="292" spans="1:7" ht="15" customHeight="1">
      <c r="A292" s="3" t="s">
        <v>318</v>
      </c>
      <c r="B292" s="3" t="s">
        <v>15</v>
      </c>
      <c r="C292" s="3">
        <v>42</v>
      </c>
      <c r="D292" s="3" t="s">
        <v>301</v>
      </c>
      <c r="E292" s="3" t="s">
        <v>302</v>
      </c>
      <c r="F292" s="3">
        <v>180</v>
      </c>
      <c r="G292" s="3"/>
    </row>
    <row r="293" spans="1:7" ht="15" customHeight="1">
      <c r="A293" s="2" t="s">
        <v>319</v>
      </c>
      <c r="B293" s="2" t="s">
        <v>17</v>
      </c>
      <c r="C293" s="2">
        <v>42</v>
      </c>
      <c r="D293" s="2" t="s">
        <v>301</v>
      </c>
      <c r="E293" s="2" t="s">
        <v>302</v>
      </c>
      <c r="F293" s="2">
        <v>187</v>
      </c>
      <c r="G293" s="2"/>
    </row>
    <row r="294" spans="1:7" ht="15" customHeight="1">
      <c r="A294" s="3" t="s">
        <v>320</v>
      </c>
      <c r="B294" s="3" t="s">
        <v>19</v>
      </c>
      <c r="C294" s="3">
        <v>42</v>
      </c>
      <c r="D294" s="3" t="s">
        <v>301</v>
      </c>
      <c r="E294" s="3" t="s">
        <v>302</v>
      </c>
      <c r="F294" s="3">
        <v>183</v>
      </c>
      <c r="G294" s="3"/>
    </row>
    <row r="295" spans="1:7" ht="15" customHeight="1">
      <c r="A295" s="2" t="s">
        <v>321</v>
      </c>
      <c r="B295" s="2" t="s">
        <v>21</v>
      </c>
      <c r="C295" s="2">
        <v>42</v>
      </c>
      <c r="D295" s="2" t="s">
        <v>301</v>
      </c>
      <c r="E295" s="2" t="s">
        <v>302</v>
      </c>
      <c r="F295" s="2">
        <v>182</v>
      </c>
      <c r="G295" s="2"/>
    </row>
    <row r="296" spans="1:7" ht="15" customHeight="1">
      <c r="A296" s="3" t="s">
        <v>322</v>
      </c>
      <c r="B296" s="3" t="s">
        <v>23</v>
      </c>
      <c r="C296" s="3">
        <v>42</v>
      </c>
      <c r="D296" s="3" t="s">
        <v>301</v>
      </c>
      <c r="E296" s="3" t="s">
        <v>302</v>
      </c>
      <c r="F296" s="3">
        <v>204</v>
      </c>
      <c r="G296" s="3"/>
    </row>
    <row r="297" spans="1:7" ht="15" customHeight="1">
      <c r="A297" s="2" t="s">
        <v>323</v>
      </c>
      <c r="B297" s="2" t="s">
        <v>9</v>
      </c>
      <c r="C297" s="2">
        <v>42</v>
      </c>
      <c r="D297" s="2" t="s">
        <v>301</v>
      </c>
      <c r="E297" s="2" t="s">
        <v>302</v>
      </c>
      <c r="F297" s="2">
        <v>167</v>
      </c>
      <c r="G297" s="2"/>
    </row>
    <row r="298" spans="1:7" ht="15" customHeight="1">
      <c r="A298" s="3" t="s">
        <v>324</v>
      </c>
      <c r="B298" s="3" t="s">
        <v>13</v>
      </c>
      <c r="C298" s="3">
        <v>42</v>
      </c>
      <c r="D298" s="3" t="s">
        <v>301</v>
      </c>
      <c r="E298" s="3" t="s">
        <v>302</v>
      </c>
      <c r="F298" s="3">
        <v>152</v>
      </c>
      <c r="G298" s="3"/>
    </row>
    <row r="299" spans="1:7" ht="15" customHeight="1">
      <c r="A299" s="2" t="s">
        <v>325</v>
      </c>
      <c r="B299" s="2" t="s">
        <v>15</v>
      </c>
      <c r="C299" s="2">
        <v>43</v>
      </c>
      <c r="D299" s="2" t="s">
        <v>301</v>
      </c>
      <c r="E299" s="2" t="s">
        <v>302</v>
      </c>
      <c r="F299" s="2">
        <v>206</v>
      </c>
      <c r="G299" s="2"/>
    </row>
    <row r="300" spans="1:7" ht="15" customHeight="1">
      <c r="A300" s="3" t="s">
        <v>326</v>
      </c>
      <c r="B300" s="3" t="s">
        <v>17</v>
      </c>
      <c r="C300" s="3">
        <v>43</v>
      </c>
      <c r="D300" s="3" t="s">
        <v>301</v>
      </c>
      <c r="E300" s="3" t="s">
        <v>302</v>
      </c>
      <c r="F300" s="3">
        <v>198</v>
      </c>
      <c r="G300" s="3"/>
    </row>
    <row r="301" spans="1:7" ht="15" customHeight="1">
      <c r="A301" s="2" t="s">
        <v>327</v>
      </c>
      <c r="B301" s="2" t="s">
        <v>19</v>
      </c>
      <c r="C301" s="2">
        <v>43</v>
      </c>
      <c r="D301" s="2" t="s">
        <v>301</v>
      </c>
      <c r="E301" s="2" t="s">
        <v>302</v>
      </c>
      <c r="F301" s="2">
        <v>206</v>
      </c>
      <c r="G301" s="2"/>
    </row>
    <row r="302" spans="1:7" ht="15" customHeight="1">
      <c r="A302" s="3" t="s">
        <v>328</v>
      </c>
      <c r="B302" s="3" t="s">
        <v>21</v>
      </c>
      <c r="C302" s="3">
        <v>43</v>
      </c>
      <c r="D302" s="3" t="s">
        <v>301</v>
      </c>
      <c r="E302" s="3" t="s">
        <v>302</v>
      </c>
      <c r="F302" s="3">
        <v>204</v>
      </c>
      <c r="G302" s="3"/>
    </row>
    <row r="303" spans="1:7" ht="15" customHeight="1">
      <c r="A303" s="2" t="s">
        <v>329</v>
      </c>
      <c r="B303" s="2" t="s">
        <v>23</v>
      </c>
      <c r="C303" s="2">
        <v>43</v>
      </c>
      <c r="D303" s="2" t="s">
        <v>301</v>
      </c>
      <c r="E303" s="2" t="s">
        <v>302</v>
      </c>
      <c r="F303" s="2">
        <v>182</v>
      </c>
      <c r="G303" s="2"/>
    </row>
    <row r="304" spans="1:7" ht="15" customHeight="1">
      <c r="A304" s="3" t="s">
        <v>330</v>
      </c>
      <c r="B304" s="3" t="s">
        <v>9</v>
      </c>
      <c r="C304" s="3">
        <v>43</v>
      </c>
      <c r="D304" s="3" t="s">
        <v>301</v>
      </c>
      <c r="E304" s="3" t="s">
        <v>302</v>
      </c>
      <c r="F304" s="3">
        <v>157</v>
      </c>
      <c r="G304" s="3"/>
    </row>
    <row r="305" spans="1:7" ht="15" customHeight="1">
      <c r="A305" s="2" t="s">
        <v>331</v>
      </c>
      <c r="B305" s="2" t="s">
        <v>13</v>
      </c>
      <c r="C305" s="2">
        <v>43</v>
      </c>
      <c r="D305" s="2" t="s">
        <v>301</v>
      </c>
      <c r="E305" s="2" t="s">
        <v>302</v>
      </c>
      <c r="F305" s="2">
        <v>177</v>
      </c>
      <c r="G305" s="2"/>
    </row>
    <row r="306" spans="1:7" ht="15" customHeight="1">
      <c r="A306" s="3" t="s">
        <v>332</v>
      </c>
      <c r="B306" s="3" t="s">
        <v>15</v>
      </c>
      <c r="C306" s="3">
        <v>44</v>
      </c>
      <c r="D306" s="3" t="s">
        <v>301</v>
      </c>
      <c r="E306" s="3" t="s">
        <v>302</v>
      </c>
      <c r="F306" s="3">
        <v>205</v>
      </c>
      <c r="G306" s="3"/>
    </row>
    <row r="307" spans="1:7" ht="15" customHeight="1">
      <c r="A307" s="2" t="s">
        <v>333</v>
      </c>
      <c r="B307" s="2" t="s">
        <v>17</v>
      </c>
      <c r="C307" s="2">
        <v>44</v>
      </c>
      <c r="D307" s="2" t="s">
        <v>334</v>
      </c>
      <c r="E307" s="2" t="s">
        <v>302</v>
      </c>
      <c r="F307" s="2">
        <v>196</v>
      </c>
      <c r="G307" s="2"/>
    </row>
    <row r="308" spans="1:7" ht="15" customHeight="1">
      <c r="A308" s="3" t="s">
        <v>335</v>
      </c>
      <c r="B308" s="3" t="s">
        <v>19</v>
      </c>
      <c r="C308" s="3">
        <v>44</v>
      </c>
      <c r="D308" s="3" t="s">
        <v>334</v>
      </c>
      <c r="E308" s="3" t="s">
        <v>302</v>
      </c>
      <c r="F308" s="3">
        <v>199</v>
      </c>
      <c r="G308" s="3"/>
    </row>
    <row r="309" spans="1:7" ht="15" customHeight="1">
      <c r="A309" s="2" t="s">
        <v>336</v>
      </c>
      <c r="B309" s="2" t="s">
        <v>21</v>
      </c>
      <c r="C309" s="2">
        <v>44</v>
      </c>
      <c r="D309" s="2" t="s">
        <v>334</v>
      </c>
      <c r="E309" s="2" t="s">
        <v>302</v>
      </c>
      <c r="F309" s="2">
        <v>217</v>
      </c>
      <c r="G309" s="2"/>
    </row>
    <row r="310" spans="1:7" ht="15" customHeight="1">
      <c r="A310" s="3" t="s">
        <v>337</v>
      </c>
      <c r="B310" s="3" t="s">
        <v>23</v>
      </c>
      <c r="C310" s="3">
        <v>44</v>
      </c>
      <c r="D310" s="3" t="s">
        <v>334</v>
      </c>
      <c r="E310" s="3" t="s">
        <v>302</v>
      </c>
      <c r="F310" s="3">
        <v>190</v>
      </c>
      <c r="G310" s="3"/>
    </row>
    <row r="311" spans="1:7" ht="15" customHeight="1">
      <c r="A311" s="2" t="s">
        <v>338</v>
      </c>
      <c r="B311" s="2" t="s">
        <v>9</v>
      </c>
      <c r="C311" s="2">
        <v>44</v>
      </c>
      <c r="D311" s="2" t="s">
        <v>334</v>
      </c>
      <c r="E311" s="2" t="s">
        <v>302</v>
      </c>
      <c r="F311" s="2">
        <v>177</v>
      </c>
      <c r="G311" s="2"/>
    </row>
    <row r="312" spans="1:7" ht="15" customHeight="1">
      <c r="A312" s="3" t="s">
        <v>339</v>
      </c>
      <c r="B312" s="3" t="s">
        <v>13</v>
      </c>
      <c r="C312" s="3">
        <v>44</v>
      </c>
      <c r="D312" s="3" t="s">
        <v>334</v>
      </c>
      <c r="E312" s="3" t="s">
        <v>302</v>
      </c>
      <c r="F312" s="3">
        <v>167</v>
      </c>
      <c r="G312" s="3"/>
    </row>
    <row r="313" spans="1:7" ht="15" customHeight="1">
      <c r="A313" s="2" t="s">
        <v>340</v>
      </c>
      <c r="B313" s="2" t="s">
        <v>15</v>
      </c>
      <c r="C313" s="2">
        <v>45</v>
      </c>
      <c r="D313" s="2" t="s">
        <v>334</v>
      </c>
      <c r="E313" s="2" t="s">
        <v>302</v>
      </c>
      <c r="F313" s="2">
        <v>197</v>
      </c>
      <c r="G313" s="2"/>
    </row>
    <row r="314" spans="1:7" ht="15" customHeight="1">
      <c r="A314" s="3" t="s">
        <v>341</v>
      </c>
      <c r="B314" s="3" t="s">
        <v>17</v>
      </c>
      <c r="C314" s="3">
        <v>45</v>
      </c>
      <c r="D314" s="3" t="s">
        <v>334</v>
      </c>
      <c r="E314" s="3" t="s">
        <v>302</v>
      </c>
      <c r="F314" s="3">
        <v>217</v>
      </c>
      <c r="G314" s="3"/>
    </row>
    <row r="315" spans="1:7" ht="15" customHeight="1">
      <c r="A315" s="2" t="s">
        <v>342</v>
      </c>
      <c r="B315" s="2" t="s">
        <v>19</v>
      </c>
      <c r="C315" s="2">
        <v>45</v>
      </c>
      <c r="D315" s="2" t="s">
        <v>334</v>
      </c>
      <c r="E315" s="2" t="s">
        <v>302</v>
      </c>
      <c r="F315" s="2">
        <v>214</v>
      </c>
      <c r="G315" s="2"/>
    </row>
    <row r="316" spans="1:7" ht="15" customHeight="1">
      <c r="A316" s="3" t="s">
        <v>343</v>
      </c>
      <c r="B316" s="3" t="s">
        <v>21</v>
      </c>
      <c r="C316" s="3">
        <v>45</v>
      </c>
      <c r="D316" s="3" t="s">
        <v>334</v>
      </c>
      <c r="E316" s="3" t="s">
        <v>302</v>
      </c>
      <c r="F316" s="3">
        <v>214</v>
      </c>
      <c r="G316" s="3"/>
    </row>
    <row r="317" spans="1:7" ht="15" customHeight="1">
      <c r="A317" s="2" t="s">
        <v>344</v>
      </c>
      <c r="B317" s="2" t="s">
        <v>23</v>
      </c>
      <c r="C317" s="2">
        <v>45</v>
      </c>
      <c r="D317" s="2" t="s">
        <v>334</v>
      </c>
      <c r="E317" s="2" t="s">
        <v>302</v>
      </c>
      <c r="F317" s="2">
        <v>222</v>
      </c>
      <c r="G317" s="2"/>
    </row>
    <row r="318" spans="1:7" ht="15" customHeight="1">
      <c r="A318" s="3" t="s">
        <v>345</v>
      </c>
      <c r="B318" s="3" t="s">
        <v>9</v>
      </c>
      <c r="C318" s="3">
        <v>45</v>
      </c>
      <c r="D318" s="3" t="s">
        <v>334</v>
      </c>
      <c r="E318" s="3" t="s">
        <v>302</v>
      </c>
      <c r="F318" s="3">
        <v>173</v>
      </c>
      <c r="G318" s="3"/>
    </row>
    <row r="319" spans="1:7" ht="15" customHeight="1">
      <c r="A319" s="2" t="s">
        <v>346</v>
      </c>
      <c r="B319" s="2" t="s">
        <v>13</v>
      </c>
      <c r="C319" s="2">
        <v>45</v>
      </c>
      <c r="D319" s="2" t="s">
        <v>334</v>
      </c>
      <c r="E319" s="2" t="s">
        <v>302</v>
      </c>
      <c r="F319" s="2">
        <v>184</v>
      </c>
      <c r="G319" s="2"/>
    </row>
    <row r="320" spans="1:7" ht="15" customHeight="1">
      <c r="A320" s="3" t="s">
        <v>347</v>
      </c>
      <c r="B320" s="3" t="s">
        <v>15</v>
      </c>
      <c r="C320" s="3">
        <v>46</v>
      </c>
      <c r="D320" s="3" t="s">
        <v>334</v>
      </c>
      <c r="E320" s="3" t="s">
        <v>302</v>
      </c>
      <c r="F320" s="3">
        <v>200</v>
      </c>
      <c r="G320" s="3"/>
    </row>
    <row r="321" spans="1:7" ht="15" customHeight="1">
      <c r="A321" s="2" t="s">
        <v>348</v>
      </c>
      <c r="B321" s="2" t="s">
        <v>17</v>
      </c>
      <c r="C321" s="2">
        <v>46</v>
      </c>
      <c r="D321" s="2" t="s">
        <v>334</v>
      </c>
      <c r="E321" s="2" t="s">
        <v>302</v>
      </c>
      <c r="F321" s="2">
        <v>210</v>
      </c>
      <c r="G321" s="2"/>
    </row>
    <row r="322" spans="1:7" ht="15" customHeight="1">
      <c r="A322" s="3" t="s">
        <v>349</v>
      </c>
      <c r="B322" s="3" t="s">
        <v>19</v>
      </c>
      <c r="C322" s="3">
        <v>46</v>
      </c>
      <c r="D322" s="3" t="s">
        <v>334</v>
      </c>
      <c r="E322" s="3" t="s">
        <v>302</v>
      </c>
      <c r="F322" s="3">
        <v>204</v>
      </c>
      <c r="G322" s="3"/>
    </row>
    <row r="323" spans="1:7" ht="15" customHeight="1">
      <c r="A323" s="2" t="s">
        <v>350</v>
      </c>
      <c r="B323" s="2" t="s">
        <v>21</v>
      </c>
      <c r="C323" s="2">
        <v>46</v>
      </c>
      <c r="D323" s="2" t="s">
        <v>334</v>
      </c>
      <c r="E323" s="2" t="s">
        <v>302</v>
      </c>
      <c r="F323" s="2">
        <v>208</v>
      </c>
      <c r="G323" s="2"/>
    </row>
    <row r="324" spans="1:7" ht="15" customHeight="1">
      <c r="A324" s="3" t="s">
        <v>351</v>
      </c>
      <c r="B324" s="3" t="s">
        <v>23</v>
      </c>
      <c r="C324" s="3">
        <v>46</v>
      </c>
      <c r="D324" s="3" t="s">
        <v>334</v>
      </c>
      <c r="E324" s="3" t="s">
        <v>302</v>
      </c>
      <c r="F324" s="3">
        <v>216</v>
      </c>
      <c r="G324" s="3"/>
    </row>
    <row r="325" spans="1:7" ht="15" customHeight="1">
      <c r="A325" s="2" t="s">
        <v>352</v>
      </c>
      <c r="B325" s="2" t="s">
        <v>9</v>
      </c>
      <c r="C325" s="2">
        <v>46</v>
      </c>
      <c r="D325" s="2" t="s">
        <v>334</v>
      </c>
      <c r="E325" s="2" t="s">
        <v>302</v>
      </c>
      <c r="F325" s="2">
        <v>165</v>
      </c>
      <c r="G325" s="2"/>
    </row>
    <row r="326" spans="1:7" ht="15" customHeight="1">
      <c r="A326" s="3" t="s">
        <v>353</v>
      </c>
      <c r="B326" s="3" t="s">
        <v>13</v>
      </c>
      <c r="C326" s="3">
        <v>46</v>
      </c>
      <c r="D326" s="3" t="s">
        <v>334</v>
      </c>
      <c r="E326" s="3" t="s">
        <v>302</v>
      </c>
      <c r="F326" s="3">
        <v>209</v>
      </c>
      <c r="G326" s="3"/>
    </row>
    <row r="327" spans="1:7" ht="15" customHeight="1">
      <c r="A327" s="2" t="s">
        <v>354</v>
      </c>
      <c r="B327" s="2" t="s">
        <v>15</v>
      </c>
      <c r="C327" s="2">
        <v>47</v>
      </c>
      <c r="D327" s="2" t="s">
        <v>334</v>
      </c>
      <c r="E327" s="2" t="s">
        <v>302</v>
      </c>
      <c r="F327" s="2">
        <v>193</v>
      </c>
      <c r="G327" s="2"/>
    </row>
    <row r="328" spans="1:7" ht="15" customHeight="1">
      <c r="A328" s="3" t="s">
        <v>355</v>
      </c>
      <c r="B328" s="3" t="s">
        <v>17</v>
      </c>
      <c r="C328" s="3">
        <v>47</v>
      </c>
      <c r="D328" s="3" t="s">
        <v>334</v>
      </c>
      <c r="E328" s="3" t="s">
        <v>302</v>
      </c>
      <c r="F328" s="3">
        <v>191</v>
      </c>
      <c r="G328" s="3"/>
    </row>
    <row r="329" spans="1:7" ht="15" customHeight="1">
      <c r="A329" s="2" t="s">
        <v>356</v>
      </c>
      <c r="B329" s="2" t="s">
        <v>19</v>
      </c>
      <c r="C329" s="2">
        <v>47</v>
      </c>
      <c r="D329" s="2" t="s">
        <v>334</v>
      </c>
      <c r="E329" s="2" t="s">
        <v>302</v>
      </c>
      <c r="F329" s="2">
        <v>227</v>
      </c>
      <c r="G329" s="2"/>
    </row>
    <row r="330" spans="1:7" ht="15" customHeight="1">
      <c r="A330" s="3" t="s">
        <v>357</v>
      </c>
      <c r="B330" s="3" t="s">
        <v>21</v>
      </c>
      <c r="C330" s="3">
        <v>47</v>
      </c>
      <c r="D330" s="3" t="s">
        <v>334</v>
      </c>
      <c r="E330" s="3" t="s">
        <v>302</v>
      </c>
      <c r="F330" s="3">
        <v>222</v>
      </c>
      <c r="G330" s="3"/>
    </row>
    <row r="331" spans="1:7" ht="15" customHeight="1">
      <c r="A331" s="2" t="s">
        <v>358</v>
      </c>
      <c r="B331" s="2" t="s">
        <v>23</v>
      </c>
      <c r="C331" s="2">
        <v>47</v>
      </c>
      <c r="D331" s="2" t="s">
        <v>334</v>
      </c>
      <c r="E331" s="2" t="s">
        <v>302</v>
      </c>
      <c r="F331" s="2">
        <v>220</v>
      </c>
      <c r="G331" s="2"/>
    </row>
    <row r="332" spans="1:7" ht="15" customHeight="1">
      <c r="A332" s="3" t="s">
        <v>359</v>
      </c>
      <c r="B332" s="3" t="s">
        <v>9</v>
      </c>
      <c r="C332" s="3">
        <v>47</v>
      </c>
      <c r="D332" s="3" t="s">
        <v>334</v>
      </c>
      <c r="E332" s="3" t="s">
        <v>302</v>
      </c>
      <c r="F332" s="3">
        <v>191</v>
      </c>
      <c r="G332" s="3"/>
    </row>
    <row r="333" spans="1:7" ht="15" customHeight="1">
      <c r="A333" s="2" t="s">
        <v>360</v>
      </c>
      <c r="B333" s="2" t="s">
        <v>13</v>
      </c>
      <c r="C333" s="2">
        <v>47</v>
      </c>
      <c r="D333" s="2" t="s">
        <v>334</v>
      </c>
      <c r="E333" s="2" t="s">
        <v>302</v>
      </c>
      <c r="F333" s="2">
        <v>182</v>
      </c>
      <c r="G333" s="2"/>
    </row>
    <row r="334" spans="1:7" ht="15" customHeight="1">
      <c r="A334" s="3" t="s">
        <v>361</v>
      </c>
      <c r="B334" s="3" t="s">
        <v>15</v>
      </c>
      <c r="C334" s="3">
        <v>48</v>
      </c>
      <c r="D334" s="3" t="s">
        <v>334</v>
      </c>
      <c r="E334" s="3" t="s">
        <v>302</v>
      </c>
      <c r="F334" s="3">
        <v>199</v>
      </c>
      <c r="G334" s="3"/>
    </row>
    <row r="335" spans="1:7" ht="15" customHeight="1">
      <c r="A335" s="2" t="s">
        <v>362</v>
      </c>
      <c r="B335" s="2" t="s">
        <v>17</v>
      </c>
      <c r="C335" s="2">
        <v>48</v>
      </c>
      <c r="D335" s="2" t="s">
        <v>334</v>
      </c>
      <c r="E335" s="2" t="s">
        <v>302</v>
      </c>
      <c r="F335" s="2">
        <v>215</v>
      </c>
      <c r="G335" s="2"/>
    </row>
    <row r="336" spans="1:7" ht="15" customHeight="1">
      <c r="A336" s="3" t="s">
        <v>363</v>
      </c>
      <c r="B336" s="3" t="s">
        <v>19</v>
      </c>
      <c r="C336" s="3">
        <v>48</v>
      </c>
      <c r="D336" s="3" t="s">
        <v>334</v>
      </c>
      <c r="E336" s="3" t="s">
        <v>302</v>
      </c>
      <c r="F336" s="3">
        <v>204</v>
      </c>
      <c r="G336" s="3"/>
    </row>
    <row r="337" spans="1:7" ht="15" customHeight="1">
      <c r="A337" s="2" t="s">
        <v>364</v>
      </c>
      <c r="B337" s="2" t="s">
        <v>21</v>
      </c>
      <c r="C337" s="2">
        <v>48</v>
      </c>
      <c r="D337" s="2" t="s">
        <v>365</v>
      </c>
      <c r="E337" s="2" t="s">
        <v>302</v>
      </c>
      <c r="F337" s="2">
        <v>229</v>
      </c>
      <c r="G337" s="2"/>
    </row>
    <row r="338" spans="1:7" ht="15" customHeight="1">
      <c r="A338" s="3" t="s">
        <v>366</v>
      </c>
      <c r="B338" s="3" t="s">
        <v>23</v>
      </c>
      <c r="C338" s="3">
        <v>48</v>
      </c>
      <c r="D338" s="3" t="s">
        <v>365</v>
      </c>
      <c r="E338" s="3" t="s">
        <v>302</v>
      </c>
      <c r="F338" s="3">
        <v>213</v>
      </c>
      <c r="G338" s="3"/>
    </row>
    <row r="339" spans="1:7" ht="15" customHeight="1">
      <c r="A339" s="2" t="s">
        <v>367</v>
      </c>
      <c r="B339" s="2" t="s">
        <v>9</v>
      </c>
      <c r="C339" s="2">
        <v>48</v>
      </c>
      <c r="D339" s="2" t="s">
        <v>365</v>
      </c>
      <c r="E339" s="2" t="s">
        <v>302</v>
      </c>
      <c r="F339" s="2">
        <v>174</v>
      </c>
      <c r="G339" s="2"/>
    </row>
    <row r="340" spans="1:7" ht="15" customHeight="1">
      <c r="A340" s="3" t="s">
        <v>368</v>
      </c>
      <c r="B340" s="3" t="s">
        <v>13</v>
      </c>
      <c r="C340" s="3">
        <v>48</v>
      </c>
      <c r="D340" s="3" t="s">
        <v>365</v>
      </c>
      <c r="E340" s="3" t="s">
        <v>302</v>
      </c>
      <c r="F340" s="3">
        <v>182</v>
      </c>
      <c r="G340" s="3"/>
    </row>
    <row r="341" spans="1:7" ht="15" customHeight="1">
      <c r="A341" s="2" t="s">
        <v>369</v>
      </c>
      <c r="B341" s="2" t="s">
        <v>15</v>
      </c>
      <c r="C341" s="2">
        <v>49</v>
      </c>
      <c r="D341" s="2" t="s">
        <v>365</v>
      </c>
      <c r="E341" s="2" t="s">
        <v>302</v>
      </c>
      <c r="F341" s="2">
        <v>223</v>
      </c>
      <c r="G341" s="2"/>
    </row>
    <row r="342" spans="1:7" ht="15" customHeight="1">
      <c r="A342" s="3" t="s">
        <v>370</v>
      </c>
      <c r="B342" s="3" t="s">
        <v>17</v>
      </c>
      <c r="C342" s="3">
        <v>49</v>
      </c>
      <c r="D342" s="3" t="s">
        <v>365</v>
      </c>
      <c r="E342" s="3" t="s">
        <v>302</v>
      </c>
      <c r="F342" s="3">
        <v>209</v>
      </c>
      <c r="G342" s="3"/>
    </row>
    <row r="343" spans="1:7" ht="15" customHeight="1">
      <c r="A343" s="2" t="s">
        <v>371</v>
      </c>
      <c r="B343" s="2" t="s">
        <v>19</v>
      </c>
      <c r="C343" s="2">
        <v>49</v>
      </c>
      <c r="D343" s="2" t="s">
        <v>365</v>
      </c>
      <c r="E343" s="2" t="s">
        <v>302</v>
      </c>
      <c r="F343" s="2">
        <v>206</v>
      </c>
      <c r="G343" s="2"/>
    </row>
    <row r="344" spans="1:7" ht="15" customHeight="1">
      <c r="A344" s="3" t="s">
        <v>372</v>
      </c>
      <c r="B344" s="3" t="s">
        <v>21</v>
      </c>
      <c r="C344" s="3">
        <v>49</v>
      </c>
      <c r="D344" s="3" t="s">
        <v>365</v>
      </c>
      <c r="E344" s="3" t="s">
        <v>302</v>
      </c>
      <c r="F344" s="3">
        <v>223</v>
      </c>
      <c r="G344" s="3"/>
    </row>
    <row r="345" spans="1:7" ht="15" customHeight="1">
      <c r="A345" s="2" t="s">
        <v>373</v>
      </c>
      <c r="B345" s="2" t="s">
        <v>23</v>
      </c>
      <c r="C345" s="2">
        <v>49</v>
      </c>
      <c r="D345" s="2" t="s">
        <v>365</v>
      </c>
      <c r="E345" s="2" t="s">
        <v>302</v>
      </c>
      <c r="F345" s="2">
        <v>223</v>
      </c>
      <c r="G345" s="2"/>
    </row>
    <row r="346" spans="1:7" ht="15" customHeight="1">
      <c r="A346" s="3" t="s">
        <v>374</v>
      </c>
      <c r="B346" s="3" t="s">
        <v>9</v>
      </c>
      <c r="C346" s="3">
        <v>49</v>
      </c>
      <c r="D346" s="3" t="s">
        <v>365</v>
      </c>
      <c r="E346" s="3" t="s">
        <v>302</v>
      </c>
      <c r="F346" s="3">
        <v>183</v>
      </c>
      <c r="G346" s="3"/>
    </row>
    <row r="347" spans="1:7" ht="15" customHeight="1">
      <c r="A347" s="2" t="s">
        <v>375</v>
      </c>
      <c r="B347" s="2" t="s">
        <v>13</v>
      </c>
      <c r="C347" s="2">
        <v>49</v>
      </c>
      <c r="D347" s="2" t="s">
        <v>365</v>
      </c>
      <c r="E347" s="2" t="s">
        <v>302</v>
      </c>
      <c r="F347" s="2">
        <v>184</v>
      </c>
      <c r="G347" s="2"/>
    </row>
    <row r="348" spans="1:7" ht="15" customHeight="1">
      <c r="A348" s="3" t="s">
        <v>376</v>
      </c>
      <c r="B348" s="3" t="s">
        <v>15</v>
      </c>
      <c r="C348" s="3">
        <v>50</v>
      </c>
      <c r="D348" s="3" t="s">
        <v>365</v>
      </c>
      <c r="E348" s="3" t="s">
        <v>302</v>
      </c>
      <c r="F348" s="3">
        <v>225</v>
      </c>
      <c r="G348" s="3"/>
    </row>
    <row r="349" spans="1:7" ht="15" customHeight="1">
      <c r="A349" s="2" t="s">
        <v>377</v>
      </c>
      <c r="B349" s="2" t="s">
        <v>17</v>
      </c>
      <c r="C349" s="2">
        <v>50</v>
      </c>
      <c r="D349" s="2" t="s">
        <v>365</v>
      </c>
      <c r="E349" s="2" t="s">
        <v>302</v>
      </c>
      <c r="F349" s="2">
        <v>200</v>
      </c>
      <c r="G349" s="2"/>
    </row>
    <row r="350" spans="1:7" ht="15" customHeight="1">
      <c r="A350" s="3" t="s">
        <v>378</v>
      </c>
      <c r="B350" s="3" t="s">
        <v>19</v>
      </c>
      <c r="C350" s="3">
        <v>50</v>
      </c>
      <c r="D350" s="3" t="s">
        <v>365</v>
      </c>
      <c r="E350" s="3" t="s">
        <v>302</v>
      </c>
      <c r="F350" s="3">
        <v>202</v>
      </c>
      <c r="G350" s="3"/>
    </row>
    <row r="351" spans="1:7" ht="15" customHeight="1">
      <c r="A351" s="2" t="s">
        <v>379</v>
      </c>
      <c r="B351" s="2" t="s">
        <v>21</v>
      </c>
      <c r="C351" s="2">
        <v>50</v>
      </c>
      <c r="D351" s="2" t="s">
        <v>365</v>
      </c>
      <c r="E351" s="2" t="s">
        <v>302</v>
      </c>
      <c r="F351" s="2">
        <v>212</v>
      </c>
      <c r="G351" s="2"/>
    </row>
    <row r="352" spans="1:7" ht="15" customHeight="1">
      <c r="A352" s="3" t="s">
        <v>380</v>
      </c>
      <c r="B352" s="3" t="s">
        <v>23</v>
      </c>
      <c r="C352" s="3">
        <v>50</v>
      </c>
      <c r="D352" s="3" t="s">
        <v>365</v>
      </c>
      <c r="E352" s="3" t="s">
        <v>302</v>
      </c>
      <c r="F352" s="3">
        <v>221</v>
      </c>
      <c r="G352" s="3"/>
    </row>
    <row r="353" spans="1:7" ht="15" customHeight="1">
      <c r="A353" s="2" t="s">
        <v>381</v>
      </c>
      <c r="B353" s="2" t="s">
        <v>9</v>
      </c>
      <c r="C353" s="2">
        <v>50</v>
      </c>
      <c r="D353" s="2" t="s">
        <v>365</v>
      </c>
      <c r="E353" s="2" t="s">
        <v>302</v>
      </c>
      <c r="F353" s="2">
        <v>199</v>
      </c>
      <c r="G353" s="2"/>
    </row>
    <row r="354" spans="1:7" ht="15" customHeight="1">
      <c r="A354" s="3" t="s">
        <v>382</v>
      </c>
      <c r="B354" s="3" t="s">
        <v>13</v>
      </c>
      <c r="C354" s="3">
        <v>50</v>
      </c>
      <c r="D354" s="3" t="s">
        <v>365</v>
      </c>
      <c r="E354" s="3" t="s">
        <v>302</v>
      </c>
      <c r="F354" s="3">
        <v>217</v>
      </c>
      <c r="G354" s="3"/>
    </row>
    <row r="355" spans="1:7" ht="15" customHeight="1">
      <c r="A355" s="2" t="s">
        <v>383</v>
      </c>
      <c r="B355" s="2" t="s">
        <v>15</v>
      </c>
      <c r="C355" s="2">
        <v>51</v>
      </c>
      <c r="D355" s="2" t="s">
        <v>365</v>
      </c>
      <c r="E355" s="2" t="s">
        <v>302</v>
      </c>
      <c r="F355" s="2">
        <v>239</v>
      </c>
      <c r="G355" s="2"/>
    </row>
    <row r="356" spans="1:7" ht="15" customHeight="1">
      <c r="A356" s="3" t="s">
        <v>384</v>
      </c>
      <c r="B356" s="3" t="s">
        <v>17</v>
      </c>
      <c r="C356" s="3">
        <v>51</v>
      </c>
      <c r="D356" s="3" t="s">
        <v>365</v>
      </c>
      <c r="E356" s="3" t="s">
        <v>302</v>
      </c>
      <c r="F356" s="3">
        <v>224</v>
      </c>
      <c r="G356" s="3"/>
    </row>
    <row r="357" spans="1:7" ht="15" customHeight="1">
      <c r="A357" s="2" t="s">
        <v>385</v>
      </c>
      <c r="B357" s="2" t="s">
        <v>19</v>
      </c>
      <c r="C357" s="2">
        <v>51</v>
      </c>
      <c r="D357" s="2" t="s">
        <v>365</v>
      </c>
      <c r="E357" s="2" t="s">
        <v>302</v>
      </c>
      <c r="F357" s="2">
        <v>227</v>
      </c>
      <c r="G357" s="2"/>
    </row>
    <row r="358" spans="1:7" ht="15" customHeight="1">
      <c r="A358" s="3" t="s">
        <v>386</v>
      </c>
      <c r="B358" s="3" t="s">
        <v>21</v>
      </c>
      <c r="C358" s="3">
        <v>51</v>
      </c>
      <c r="D358" s="3" t="s">
        <v>365</v>
      </c>
      <c r="E358" s="3" t="s">
        <v>302</v>
      </c>
      <c r="F358" s="3">
        <v>212</v>
      </c>
      <c r="G358" s="3"/>
    </row>
    <row r="359" spans="1:7" ht="15" customHeight="1">
      <c r="A359" s="2" t="s">
        <v>387</v>
      </c>
      <c r="B359" s="2" t="s">
        <v>23</v>
      </c>
      <c r="C359" s="2">
        <v>51</v>
      </c>
      <c r="D359" s="2" t="s">
        <v>365</v>
      </c>
      <c r="E359" s="2" t="s">
        <v>302</v>
      </c>
      <c r="F359" s="2">
        <v>228</v>
      </c>
      <c r="G359" s="2"/>
    </row>
    <row r="360" spans="1:7" ht="15" customHeight="1">
      <c r="A360" s="3" t="s">
        <v>388</v>
      </c>
      <c r="B360" s="3" t="s">
        <v>9</v>
      </c>
      <c r="C360" s="3">
        <v>51</v>
      </c>
      <c r="D360" s="3" t="s">
        <v>365</v>
      </c>
      <c r="E360" s="3" t="s">
        <v>302</v>
      </c>
      <c r="F360" s="3">
        <v>194</v>
      </c>
      <c r="G360" s="3"/>
    </row>
    <row r="361" spans="1:7" ht="15" customHeight="1">
      <c r="A361" s="2" t="s">
        <v>389</v>
      </c>
      <c r="B361" s="2" t="s">
        <v>13</v>
      </c>
      <c r="C361" s="2">
        <v>51</v>
      </c>
      <c r="D361" s="2" t="s">
        <v>365</v>
      </c>
      <c r="E361" s="2" t="s">
        <v>302</v>
      </c>
      <c r="F361" s="2">
        <v>204</v>
      </c>
      <c r="G361" s="2"/>
    </row>
    <row r="362" spans="1:7" ht="15" customHeight="1">
      <c r="A362" s="3" t="s">
        <v>390</v>
      </c>
      <c r="B362" s="3" t="s">
        <v>15</v>
      </c>
      <c r="C362" s="3">
        <v>52</v>
      </c>
      <c r="D362" s="3" t="s">
        <v>365</v>
      </c>
      <c r="E362" s="3" t="s">
        <v>302</v>
      </c>
      <c r="F362" s="3">
        <v>217</v>
      </c>
      <c r="G362" s="3"/>
    </row>
    <row r="363" spans="1:7" ht="15" customHeight="1">
      <c r="A363" s="2" t="s">
        <v>391</v>
      </c>
      <c r="B363" s="2" t="s">
        <v>17</v>
      </c>
      <c r="C363" s="2">
        <v>52</v>
      </c>
      <c r="D363" s="2" t="s">
        <v>365</v>
      </c>
      <c r="E363" s="2" t="s">
        <v>302</v>
      </c>
      <c r="F363" s="2">
        <v>238</v>
      </c>
      <c r="G363" s="2"/>
    </row>
    <row r="364" spans="1:7" ht="15" customHeight="1">
      <c r="A364" s="3" t="s">
        <v>392</v>
      </c>
      <c r="B364" s="3" t="s">
        <v>19</v>
      </c>
      <c r="C364" s="3">
        <v>52</v>
      </c>
      <c r="D364" s="3" t="s">
        <v>365</v>
      </c>
      <c r="E364" s="3" t="s">
        <v>302</v>
      </c>
      <c r="F364" s="3">
        <v>254</v>
      </c>
      <c r="G364" s="3"/>
    </row>
    <row r="365" spans="1:7" ht="15" customHeight="1">
      <c r="A365" s="2" t="s">
        <v>393</v>
      </c>
      <c r="B365" s="2" t="s">
        <v>21</v>
      </c>
      <c r="C365" s="2">
        <v>52</v>
      </c>
      <c r="D365" s="2" t="s">
        <v>365</v>
      </c>
      <c r="E365" s="2" t="s">
        <v>302</v>
      </c>
      <c r="F365" s="2">
        <v>230</v>
      </c>
      <c r="G365" s="2"/>
    </row>
    <row r="366" spans="1:7" ht="15" customHeight="1">
      <c r="A366" s="3" t="s">
        <v>394</v>
      </c>
      <c r="B366" s="3" t="s">
        <v>23</v>
      </c>
      <c r="C366" s="3">
        <v>52</v>
      </c>
      <c r="D366" s="3" t="s">
        <v>365</v>
      </c>
      <c r="E366" s="3" t="s">
        <v>302</v>
      </c>
      <c r="F366" s="3">
        <v>238</v>
      </c>
      <c r="G366" s="3"/>
    </row>
    <row r="367" spans="1:7" ht="15" customHeight="1">
      <c r="A367" s="2" t="s">
        <v>395</v>
      </c>
      <c r="B367" s="2" t="s">
        <v>9</v>
      </c>
      <c r="C367" s="2">
        <v>52</v>
      </c>
      <c r="D367" s="2" t="s">
        <v>365</v>
      </c>
      <c r="E367" s="2" t="s">
        <v>302</v>
      </c>
      <c r="F367" s="2">
        <v>213</v>
      </c>
      <c r="G367" s="2"/>
    </row>
    <row r="370" spans="1:6" ht="15" customHeight="1">
      <c r="A370" s="52" t="s">
        <v>396</v>
      </c>
      <c r="B370" s="52"/>
      <c r="C370" s="52"/>
      <c r="D370" s="52"/>
      <c r="E370" s="52"/>
      <c r="F370" s="52"/>
    </row>
    <row r="371" spans="1:6" ht="39" customHeight="1">
      <c r="A371" s="1" t="s">
        <v>4</v>
      </c>
      <c r="B371" s="1" t="s">
        <v>397</v>
      </c>
      <c r="C371" s="1" t="s">
        <v>398</v>
      </c>
      <c r="D371" s="1" t="s">
        <v>399</v>
      </c>
      <c r="E371" s="1" t="s">
        <v>400</v>
      </c>
      <c r="F371" s="1" t="s">
        <v>401</v>
      </c>
    </row>
    <row r="372" spans="1:6" ht="15" customHeight="1">
      <c r="A372" s="2" t="s">
        <v>10</v>
      </c>
      <c r="B372" s="2">
        <v>4711</v>
      </c>
      <c r="C372" s="2">
        <v>152</v>
      </c>
      <c r="D372" s="2">
        <v>108</v>
      </c>
      <c r="E372" s="2">
        <v>188</v>
      </c>
      <c r="F372" s="2">
        <v>19.7</v>
      </c>
    </row>
    <row r="373" spans="1:6" ht="15" customHeight="1">
      <c r="A373" s="3" t="s">
        <v>49</v>
      </c>
      <c r="B373" s="3">
        <v>4645</v>
      </c>
      <c r="C373" s="3">
        <v>165.9</v>
      </c>
      <c r="D373" s="3">
        <v>122</v>
      </c>
      <c r="E373" s="3">
        <v>198</v>
      </c>
      <c r="F373" s="3">
        <v>22.3</v>
      </c>
    </row>
    <row r="374" spans="1:6" ht="15" customHeight="1">
      <c r="A374" s="2" t="s">
        <v>78</v>
      </c>
      <c r="B374" s="2">
        <v>5762</v>
      </c>
      <c r="C374" s="2">
        <v>185.9</v>
      </c>
      <c r="D374" s="2">
        <v>139</v>
      </c>
      <c r="E374" s="2">
        <v>220</v>
      </c>
      <c r="F374" s="2">
        <v>20.7</v>
      </c>
    </row>
    <row r="375" spans="1:6" ht="15" customHeight="1">
      <c r="A375" s="3" t="s">
        <v>110</v>
      </c>
      <c r="B375" s="3">
        <v>6032</v>
      </c>
      <c r="C375" s="3">
        <v>201.1</v>
      </c>
      <c r="D375" s="3">
        <v>163</v>
      </c>
      <c r="E375" s="3">
        <v>235</v>
      </c>
      <c r="F375" s="3">
        <v>16.100000000000001</v>
      </c>
    </row>
    <row r="376" spans="1:6" ht="15" customHeight="1">
      <c r="A376" s="2" t="s">
        <v>142</v>
      </c>
      <c r="B376" s="2">
        <v>6647</v>
      </c>
      <c r="C376" s="2">
        <v>214.4</v>
      </c>
      <c r="D376" s="2">
        <v>176</v>
      </c>
      <c r="E376" s="2">
        <v>253</v>
      </c>
      <c r="F376" s="2">
        <v>20.399999999999999</v>
      </c>
    </row>
    <row r="377" spans="1:6" ht="15" customHeight="1">
      <c r="A377" s="3" t="s">
        <v>174</v>
      </c>
      <c r="B377" s="3">
        <v>6848</v>
      </c>
      <c r="C377" s="3">
        <v>228.3</v>
      </c>
      <c r="D377" s="3">
        <v>190</v>
      </c>
      <c r="E377" s="3">
        <v>274</v>
      </c>
      <c r="F377" s="3">
        <v>20.6</v>
      </c>
    </row>
    <row r="378" spans="1:6" ht="15" customHeight="1">
      <c r="A378" s="2" t="s">
        <v>205</v>
      </c>
      <c r="B378" s="2">
        <v>6917</v>
      </c>
      <c r="C378" s="2">
        <v>223.1</v>
      </c>
      <c r="D378" s="2">
        <v>180</v>
      </c>
      <c r="E378" s="2">
        <v>287</v>
      </c>
      <c r="F378" s="2">
        <v>22.9</v>
      </c>
    </row>
    <row r="379" spans="1:6" ht="15" customHeight="1">
      <c r="A379" s="3" t="s">
        <v>238</v>
      </c>
      <c r="B379" s="3">
        <v>6680</v>
      </c>
      <c r="C379" s="3">
        <v>215.5</v>
      </c>
      <c r="D379" s="3">
        <v>180</v>
      </c>
      <c r="E379" s="3">
        <v>261</v>
      </c>
      <c r="F379" s="3">
        <v>20.3</v>
      </c>
    </row>
    <row r="380" spans="1:6" ht="15" customHeight="1">
      <c r="A380" s="2" t="s">
        <v>270</v>
      </c>
      <c r="B380" s="2">
        <v>5987</v>
      </c>
      <c r="C380" s="2">
        <v>199.6</v>
      </c>
      <c r="D380" s="2">
        <v>156</v>
      </c>
      <c r="E380" s="2">
        <v>242</v>
      </c>
      <c r="F380" s="2">
        <v>21.1</v>
      </c>
    </row>
    <row r="381" spans="1:6" ht="15" customHeight="1">
      <c r="A381" s="3" t="s">
        <v>301</v>
      </c>
      <c r="B381" s="3">
        <v>5592</v>
      </c>
      <c r="C381" s="3">
        <v>180.4</v>
      </c>
      <c r="D381" s="3">
        <v>138</v>
      </c>
      <c r="E381" s="3">
        <v>219</v>
      </c>
      <c r="F381" s="3">
        <v>20</v>
      </c>
    </row>
    <row r="382" spans="1:6" ht="15" customHeight="1">
      <c r="A382" s="2" t="s">
        <v>334</v>
      </c>
      <c r="B382" s="2">
        <v>6023</v>
      </c>
      <c r="C382" s="2">
        <v>200.8</v>
      </c>
      <c r="D382" s="2">
        <v>165</v>
      </c>
      <c r="E382" s="2">
        <v>227</v>
      </c>
      <c r="F382" s="2">
        <v>16.899999999999999</v>
      </c>
    </row>
    <row r="383" spans="1:6" ht="15" customHeight="1">
      <c r="A383" s="3" t="s">
        <v>365</v>
      </c>
      <c r="B383" s="3">
        <v>6643</v>
      </c>
      <c r="C383" s="3">
        <v>214.3</v>
      </c>
      <c r="D383" s="3">
        <v>174</v>
      </c>
      <c r="E383" s="3">
        <v>254</v>
      </c>
      <c r="F383" s="3">
        <v>18.600000000000001</v>
      </c>
    </row>
    <row r="384" spans="1:6" ht="15" customHeight="1">
      <c r="A384" s="4" t="s">
        <v>402</v>
      </c>
      <c r="B384" s="4">
        <f>SUM(B372:B383)</f>
        <v>72487</v>
      </c>
      <c r="C384" s="4">
        <f>ROUND(AVERAGE(C372:C383),1)</f>
        <v>198.4</v>
      </c>
      <c r="D384" s="4">
        <f>MIN(D372:D383)</f>
        <v>108</v>
      </c>
      <c r="E384" s="4">
        <f>MAX(E372:E383)</f>
        <v>287</v>
      </c>
      <c r="F384" s="4"/>
    </row>
  </sheetData>
  <mergeCells count="2">
    <mergeCell ref="A1:G1"/>
    <mergeCell ref="A370:F37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84"/>
  <sheetViews>
    <sheetView zoomScaleNormal="100" workbookViewId="0">
      <pane ySplit="2" topLeftCell="A335" activePane="bottomLeft" state="frozen"/>
      <selection pane="bottomLeft" activeCell="H380" sqref="H380"/>
    </sheetView>
  </sheetViews>
  <sheetFormatPr defaultColWidth="8.6640625" defaultRowHeight="14.4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  <col min="9" max="10" width="8.6640625" customWidth="1"/>
  </cols>
  <sheetData>
    <row r="1" spans="1:7" ht="27.75" customHeight="1">
      <c r="A1" s="51" t="s">
        <v>403</v>
      </c>
      <c r="B1" s="51"/>
      <c r="C1" s="51"/>
      <c r="D1" s="51"/>
      <c r="E1" s="51"/>
      <c r="F1" s="51"/>
      <c r="G1" s="51"/>
    </row>
    <row r="2" spans="1:7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customHeight="1">
      <c r="A3" s="2" t="s">
        <v>404</v>
      </c>
      <c r="B3" s="2" t="s">
        <v>13</v>
      </c>
      <c r="C3" s="2">
        <v>52</v>
      </c>
      <c r="D3" s="2" t="s">
        <v>10</v>
      </c>
      <c r="E3" s="2" t="s">
        <v>11</v>
      </c>
      <c r="F3" s="2">
        <v>145</v>
      </c>
      <c r="G3" s="2"/>
    </row>
    <row r="4" spans="1:7" ht="15" customHeight="1">
      <c r="A4" s="3" t="s">
        <v>405</v>
      </c>
      <c r="B4" s="3" t="s">
        <v>15</v>
      </c>
      <c r="C4" s="3">
        <v>1</v>
      </c>
      <c r="D4" s="3" t="s">
        <v>10</v>
      </c>
      <c r="E4" s="3" t="s">
        <v>11</v>
      </c>
      <c r="F4" s="3">
        <v>184</v>
      </c>
      <c r="G4" s="3"/>
    </row>
    <row r="5" spans="1:7" ht="15" customHeight="1">
      <c r="A5" s="2" t="s">
        <v>406</v>
      </c>
      <c r="B5" s="2" t="s">
        <v>17</v>
      </c>
      <c r="C5" s="2">
        <v>1</v>
      </c>
      <c r="D5" s="2" t="s">
        <v>10</v>
      </c>
      <c r="E5" s="2" t="s">
        <v>11</v>
      </c>
      <c r="F5" s="2">
        <v>181</v>
      </c>
      <c r="G5" s="2"/>
    </row>
    <row r="6" spans="1:7" ht="15" customHeight="1">
      <c r="A6" s="3" t="s">
        <v>407</v>
      </c>
      <c r="B6" s="3" t="s">
        <v>19</v>
      </c>
      <c r="C6" s="3">
        <v>1</v>
      </c>
      <c r="D6" s="3" t="s">
        <v>10</v>
      </c>
      <c r="E6" s="3" t="s">
        <v>11</v>
      </c>
      <c r="F6" s="3">
        <v>183</v>
      </c>
      <c r="G6" s="3"/>
    </row>
    <row r="7" spans="1:7" ht="15" customHeight="1">
      <c r="A7" s="2" t="s">
        <v>408</v>
      </c>
      <c r="B7" s="2" t="s">
        <v>21</v>
      </c>
      <c r="C7" s="2">
        <v>1</v>
      </c>
      <c r="D7" s="2" t="s">
        <v>10</v>
      </c>
      <c r="E7" s="2" t="s">
        <v>11</v>
      </c>
      <c r="F7" s="2">
        <v>170</v>
      </c>
      <c r="G7" s="2"/>
    </row>
    <row r="8" spans="1:7" ht="15" customHeight="1">
      <c r="A8" s="3" t="s">
        <v>409</v>
      </c>
      <c r="B8" s="3" t="s">
        <v>23</v>
      </c>
      <c r="C8" s="3">
        <v>1</v>
      </c>
      <c r="D8" s="3" t="s">
        <v>10</v>
      </c>
      <c r="E8" s="3" t="s">
        <v>11</v>
      </c>
      <c r="F8" s="3">
        <v>182</v>
      </c>
      <c r="G8" s="3"/>
    </row>
    <row r="9" spans="1:7" ht="15" customHeight="1">
      <c r="A9" s="2" t="s">
        <v>410</v>
      </c>
      <c r="B9" s="2" t="s">
        <v>9</v>
      </c>
      <c r="C9" s="2">
        <v>1</v>
      </c>
      <c r="D9" s="2" t="s">
        <v>10</v>
      </c>
      <c r="E9" s="2" t="s">
        <v>11</v>
      </c>
      <c r="F9" s="2">
        <v>159</v>
      </c>
      <c r="G9" s="2"/>
    </row>
    <row r="10" spans="1:7" ht="15" customHeight="1">
      <c r="A10" s="3" t="s">
        <v>411</v>
      </c>
      <c r="B10" s="3" t="s">
        <v>13</v>
      </c>
      <c r="C10" s="3">
        <v>1</v>
      </c>
      <c r="D10" s="3" t="s">
        <v>10</v>
      </c>
      <c r="E10" s="3" t="s">
        <v>11</v>
      </c>
      <c r="F10" s="3">
        <v>174</v>
      </c>
      <c r="G10" s="3"/>
    </row>
    <row r="11" spans="1:7" ht="15" customHeight="1">
      <c r="A11" s="2" t="s">
        <v>412</v>
      </c>
      <c r="B11" s="2" t="s">
        <v>15</v>
      </c>
      <c r="C11" s="2">
        <v>2</v>
      </c>
      <c r="D11" s="2" t="s">
        <v>10</v>
      </c>
      <c r="E11" s="2" t="s">
        <v>11</v>
      </c>
      <c r="F11" s="2">
        <v>197</v>
      </c>
      <c r="G11" s="2"/>
    </row>
    <row r="12" spans="1:7" ht="15" customHeight="1">
      <c r="A12" s="3" t="s">
        <v>413</v>
      </c>
      <c r="B12" s="3" t="s">
        <v>17</v>
      </c>
      <c r="C12" s="3">
        <v>2</v>
      </c>
      <c r="D12" s="3" t="s">
        <v>10</v>
      </c>
      <c r="E12" s="3" t="s">
        <v>11</v>
      </c>
      <c r="F12" s="3">
        <v>215</v>
      </c>
      <c r="G12" s="3"/>
    </row>
    <row r="13" spans="1:7" ht="15" customHeight="1">
      <c r="A13" s="2" t="s">
        <v>414</v>
      </c>
      <c r="B13" s="2" t="s">
        <v>19</v>
      </c>
      <c r="C13" s="2">
        <v>2</v>
      </c>
      <c r="D13" s="2" t="s">
        <v>10</v>
      </c>
      <c r="E13" s="2" t="s">
        <v>11</v>
      </c>
      <c r="F13" s="2">
        <v>171</v>
      </c>
      <c r="G13" s="2"/>
    </row>
    <row r="14" spans="1:7" ht="15" customHeight="1">
      <c r="A14" s="3" t="s">
        <v>415</v>
      </c>
      <c r="B14" s="3" t="s">
        <v>21</v>
      </c>
      <c r="C14" s="3">
        <v>2</v>
      </c>
      <c r="D14" s="3" t="s">
        <v>10</v>
      </c>
      <c r="E14" s="3" t="s">
        <v>11</v>
      </c>
      <c r="F14" s="3">
        <v>196</v>
      </c>
      <c r="G14" s="3"/>
    </row>
    <row r="15" spans="1:7" ht="15" customHeight="1">
      <c r="A15" s="2" t="s">
        <v>416</v>
      </c>
      <c r="B15" s="2" t="s">
        <v>23</v>
      </c>
      <c r="C15" s="2">
        <v>2</v>
      </c>
      <c r="D15" s="2" t="s">
        <v>10</v>
      </c>
      <c r="E15" s="2" t="s">
        <v>11</v>
      </c>
      <c r="F15" s="2">
        <v>186</v>
      </c>
      <c r="G15" s="2"/>
    </row>
    <row r="16" spans="1:7" ht="15" customHeight="1">
      <c r="A16" s="3" t="s">
        <v>417</v>
      </c>
      <c r="B16" s="3" t="s">
        <v>9</v>
      </c>
      <c r="C16" s="3">
        <v>2</v>
      </c>
      <c r="D16" s="3" t="s">
        <v>10</v>
      </c>
      <c r="E16" s="3" t="s">
        <v>11</v>
      </c>
      <c r="F16" s="3">
        <v>187</v>
      </c>
      <c r="G16" s="3"/>
    </row>
    <row r="17" spans="1:7" ht="15" customHeight="1">
      <c r="A17" s="2" t="s">
        <v>418</v>
      </c>
      <c r="B17" s="2" t="s">
        <v>13</v>
      </c>
      <c r="C17" s="2">
        <v>2</v>
      </c>
      <c r="D17" s="2" t="s">
        <v>10</v>
      </c>
      <c r="E17" s="2" t="s">
        <v>11</v>
      </c>
      <c r="F17" s="2">
        <v>142</v>
      </c>
      <c r="G17" s="2"/>
    </row>
    <row r="18" spans="1:7" ht="15" customHeight="1">
      <c r="A18" s="3" t="s">
        <v>419</v>
      </c>
      <c r="B18" s="3" t="s">
        <v>15</v>
      </c>
      <c r="C18" s="3">
        <v>3</v>
      </c>
      <c r="D18" s="3" t="s">
        <v>10</v>
      </c>
      <c r="E18" s="3" t="s">
        <v>11</v>
      </c>
      <c r="F18" s="3">
        <v>172</v>
      </c>
      <c r="G18" s="3"/>
    </row>
    <row r="19" spans="1:7" ht="15" customHeight="1">
      <c r="A19" s="2" t="s">
        <v>420</v>
      </c>
      <c r="B19" s="2" t="s">
        <v>17</v>
      </c>
      <c r="C19" s="2">
        <v>3</v>
      </c>
      <c r="D19" s="2" t="s">
        <v>10</v>
      </c>
      <c r="E19" s="2" t="s">
        <v>11</v>
      </c>
      <c r="F19" s="2">
        <v>176</v>
      </c>
      <c r="G19" s="2"/>
    </row>
    <row r="20" spans="1:7" ht="15" customHeight="1">
      <c r="A20" s="3" t="s">
        <v>421</v>
      </c>
      <c r="B20" s="3" t="s">
        <v>19</v>
      </c>
      <c r="C20" s="3">
        <v>3</v>
      </c>
      <c r="D20" s="3" t="s">
        <v>10</v>
      </c>
      <c r="E20" s="3" t="s">
        <v>11</v>
      </c>
      <c r="F20" s="3">
        <v>153</v>
      </c>
      <c r="G20" s="3"/>
    </row>
    <row r="21" spans="1:7" ht="15" customHeight="1">
      <c r="A21" s="2" t="s">
        <v>422</v>
      </c>
      <c r="B21" s="2" t="s">
        <v>21</v>
      </c>
      <c r="C21" s="2">
        <v>3</v>
      </c>
      <c r="D21" s="2" t="s">
        <v>10</v>
      </c>
      <c r="E21" s="2" t="s">
        <v>11</v>
      </c>
      <c r="F21" s="2">
        <v>178</v>
      </c>
      <c r="G21" s="2"/>
    </row>
    <row r="22" spans="1:7" ht="15" customHeight="1">
      <c r="A22" s="3" t="s">
        <v>423</v>
      </c>
      <c r="B22" s="3" t="s">
        <v>23</v>
      </c>
      <c r="C22" s="3">
        <v>3</v>
      </c>
      <c r="D22" s="3" t="s">
        <v>10</v>
      </c>
      <c r="E22" s="3" t="s">
        <v>11</v>
      </c>
      <c r="F22" s="3">
        <v>174</v>
      </c>
      <c r="G22" s="3"/>
    </row>
    <row r="23" spans="1:7" ht="15" customHeight="1">
      <c r="A23" s="2" t="s">
        <v>424</v>
      </c>
      <c r="B23" s="2" t="s">
        <v>9</v>
      </c>
      <c r="C23" s="2">
        <v>3</v>
      </c>
      <c r="D23" s="2" t="s">
        <v>10</v>
      </c>
      <c r="E23" s="2" t="s">
        <v>11</v>
      </c>
      <c r="F23" s="2">
        <v>158</v>
      </c>
      <c r="G23" s="2"/>
    </row>
    <row r="24" spans="1:7" ht="15" customHeight="1">
      <c r="A24" s="3" t="s">
        <v>425</v>
      </c>
      <c r="B24" s="3" t="s">
        <v>13</v>
      </c>
      <c r="C24" s="3">
        <v>3</v>
      </c>
      <c r="D24" s="3" t="s">
        <v>10</v>
      </c>
      <c r="E24" s="3" t="s">
        <v>11</v>
      </c>
      <c r="F24" s="3">
        <v>162</v>
      </c>
      <c r="G24" s="3"/>
    </row>
    <row r="25" spans="1:7" ht="15" customHeight="1">
      <c r="A25" s="2" t="s">
        <v>426</v>
      </c>
      <c r="B25" s="2" t="s">
        <v>15</v>
      </c>
      <c r="C25" s="2">
        <v>4</v>
      </c>
      <c r="D25" s="2" t="s">
        <v>10</v>
      </c>
      <c r="E25" s="2" t="s">
        <v>11</v>
      </c>
      <c r="F25" s="2">
        <v>215</v>
      </c>
      <c r="G25" s="2"/>
    </row>
    <row r="26" spans="1:7" ht="15" customHeight="1">
      <c r="A26" s="3" t="s">
        <v>427</v>
      </c>
      <c r="B26" s="3" t="s">
        <v>17</v>
      </c>
      <c r="C26" s="3">
        <v>4</v>
      </c>
      <c r="D26" s="3" t="s">
        <v>10</v>
      </c>
      <c r="E26" s="3" t="s">
        <v>11</v>
      </c>
      <c r="F26" s="3">
        <v>202</v>
      </c>
      <c r="G26" s="3"/>
    </row>
    <row r="27" spans="1:7" ht="15" customHeight="1">
      <c r="A27" s="2" t="s">
        <v>428</v>
      </c>
      <c r="B27" s="2" t="s">
        <v>19</v>
      </c>
      <c r="C27" s="2">
        <v>4</v>
      </c>
      <c r="D27" s="2" t="s">
        <v>10</v>
      </c>
      <c r="E27" s="2" t="s">
        <v>11</v>
      </c>
      <c r="F27" s="2">
        <v>179</v>
      </c>
      <c r="G27" s="2"/>
    </row>
    <row r="28" spans="1:7" ht="15" customHeight="1">
      <c r="A28" s="3" t="s">
        <v>429</v>
      </c>
      <c r="B28" s="3" t="s">
        <v>21</v>
      </c>
      <c r="C28" s="3">
        <v>4</v>
      </c>
      <c r="D28" s="3" t="s">
        <v>10</v>
      </c>
      <c r="E28" s="3" t="s">
        <v>11</v>
      </c>
      <c r="F28" s="3">
        <v>175</v>
      </c>
      <c r="G28" s="3"/>
    </row>
    <row r="29" spans="1:7" ht="15" customHeight="1">
      <c r="A29" s="2" t="s">
        <v>430</v>
      </c>
      <c r="B29" s="2" t="s">
        <v>23</v>
      </c>
      <c r="C29" s="2">
        <v>4</v>
      </c>
      <c r="D29" s="2" t="s">
        <v>10</v>
      </c>
      <c r="E29" s="2" t="s">
        <v>11</v>
      </c>
      <c r="F29" s="2">
        <v>196</v>
      </c>
      <c r="G29" s="2"/>
    </row>
    <row r="30" spans="1:7" ht="15" customHeight="1">
      <c r="A30" s="3" t="s">
        <v>431</v>
      </c>
      <c r="B30" s="3" t="s">
        <v>9</v>
      </c>
      <c r="C30" s="3">
        <v>4</v>
      </c>
      <c r="D30" s="3" t="s">
        <v>10</v>
      </c>
      <c r="E30" s="3" t="s">
        <v>11</v>
      </c>
      <c r="F30" s="3">
        <v>139</v>
      </c>
      <c r="G30" s="3"/>
    </row>
    <row r="31" spans="1:7" ht="15" customHeight="1">
      <c r="A31" s="2" t="s">
        <v>432</v>
      </c>
      <c r="B31" s="2" t="s">
        <v>13</v>
      </c>
      <c r="C31" s="2">
        <v>4</v>
      </c>
      <c r="D31" s="2" t="s">
        <v>10</v>
      </c>
      <c r="E31" s="2" t="s">
        <v>11</v>
      </c>
      <c r="F31" s="2">
        <v>187</v>
      </c>
      <c r="G31" s="2"/>
    </row>
    <row r="32" spans="1:7" ht="15" customHeight="1">
      <c r="A32" s="3" t="s">
        <v>433</v>
      </c>
      <c r="B32" s="3" t="s">
        <v>15</v>
      </c>
      <c r="C32" s="3">
        <v>5</v>
      </c>
      <c r="D32" s="3" t="s">
        <v>10</v>
      </c>
      <c r="E32" s="3" t="s">
        <v>11</v>
      </c>
      <c r="F32" s="3">
        <v>207</v>
      </c>
      <c r="G32" s="3"/>
    </row>
    <row r="33" spans="1:7" ht="15" customHeight="1">
      <c r="A33" s="2" t="s">
        <v>434</v>
      </c>
      <c r="B33" s="2" t="s">
        <v>17</v>
      </c>
      <c r="C33" s="2">
        <v>5</v>
      </c>
      <c r="D33" s="2" t="s">
        <v>10</v>
      </c>
      <c r="E33" s="2" t="s">
        <v>11</v>
      </c>
      <c r="F33" s="2">
        <v>183</v>
      </c>
      <c r="G33" s="2"/>
    </row>
    <row r="34" spans="1:7" ht="15" customHeight="1">
      <c r="A34" s="3" t="s">
        <v>435</v>
      </c>
      <c r="B34" s="3" t="s">
        <v>19</v>
      </c>
      <c r="C34" s="3">
        <v>5</v>
      </c>
      <c r="D34" s="3" t="s">
        <v>49</v>
      </c>
      <c r="E34" s="3" t="s">
        <v>11</v>
      </c>
      <c r="F34" s="3">
        <v>165</v>
      </c>
      <c r="G34" s="3"/>
    </row>
    <row r="35" spans="1:7" ht="15" customHeight="1">
      <c r="A35" s="2" t="s">
        <v>436</v>
      </c>
      <c r="B35" s="2" t="s">
        <v>21</v>
      </c>
      <c r="C35" s="2">
        <v>5</v>
      </c>
      <c r="D35" s="2" t="s">
        <v>49</v>
      </c>
      <c r="E35" s="2" t="s">
        <v>11</v>
      </c>
      <c r="F35" s="2">
        <v>211</v>
      </c>
      <c r="G35" s="2"/>
    </row>
    <row r="36" spans="1:7" ht="15" customHeight="1">
      <c r="A36" s="3" t="s">
        <v>437</v>
      </c>
      <c r="B36" s="3" t="s">
        <v>23</v>
      </c>
      <c r="C36" s="3">
        <v>5</v>
      </c>
      <c r="D36" s="3" t="s">
        <v>49</v>
      </c>
      <c r="E36" s="3" t="s">
        <v>11</v>
      </c>
      <c r="F36" s="3">
        <v>190</v>
      </c>
      <c r="G36" s="3"/>
    </row>
    <row r="37" spans="1:7" ht="15" customHeight="1">
      <c r="A37" s="2" t="s">
        <v>438</v>
      </c>
      <c r="B37" s="2" t="s">
        <v>9</v>
      </c>
      <c r="C37" s="2">
        <v>5</v>
      </c>
      <c r="D37" s="2" t="s">
        <v>49</v>
      </c>
      <c r="E37" s="2" t="s">
        <v>11</v>
      </c>
      <c r="F37" s="2">
        <v>180</v>
      </c>
      <c r="G37" s="2"/>
    </row>
    <row r="38" spans="1:7" ht="15" customHeight="1">
      <c r="A38" s="3" t="s">
        <v>439</v>
      </c>
      <c r="B38" s="3" t="s">
        <v>13</v>
      </c>
      <c r="C38" s="3">
        <v>5</v>
      </c>
      <c r="D38" s="3" t="s">
        <v>49</v>
      </c>
      <c r="E38" s="3" t="s">
        <v>11</v>
      </c>
      <c r="F38" s="3">
        <v>138</v>
      </c>
      <c r="G38" s="3"/>
    </row>
    <row r="39" spans="1:7" ht="15" customHeight="1">
      <c r="A39" s="2" t="s">
        <v>440</v>
      </c>
      <c r="B39" s="2" t="s">
        <v>15</v>
      </c>
      <c r="C39" s="2">
        <v>6</v>
      </c>
      <c r="D39" s="2" t="s">
        <v>49</v>
      </c>
      <c r="E39" s="2" t="s">
        <v>11</v>
      </c>
      <c r="F39" s="2">
        <v>184</v>
      </c>
      <c r="G39" s="2"/>
    </row>
    <row r="40" spans="1:7" ht="15" customHeight="1">
      <c r="A40" s="3" t="s">
        <v>441</v>
      </c>
      <c r="B40" s="3" t="s">
        <v>17</v>
      </c>
      <c r="C40" s="3">
        <v>6</v>
      </c>
      <c r="D40" s="3" t="s">
        <v>49</v>
      </c>
      <c r="E40" s="3" t="s">
        <v>11</v>
      </c>
      <c r="F40" s="3">
        <v>193</v>
      </c>
      <c r="G40" s="3"/>
    </row>
    <row r="41" spans="1:7" ht="15" customHeight="1">
      <c r="A41" s="2" t="s">
        <v>442</v>
      </c>
      <c r="B41" s="2" t="s">
        <v>19</v>
      </c>
      <c r="C41" s="2">
        <v>6</v>
      </c>
      <c r="D41" s="2" t="s">
        <v>49</v>
      </c>
      <c r="E41" s="2" t="s">
        <v>11</v>
      </c>
      <c r="F41" s="2">
        <v>194</v>
      </c>
      <c r="G41" s="2"/>
    </row>
    <row r="42" spans="1:7" ht="15" customHeight="1">
      <c r="A42" s="3" t="s">
        <v>443</v>
      </c>
      <c r="B42" s="3" t="s">
        <v>21</v>
      </c>
      <c r="C42" s="3">
        <v>6</v>
      </c>
      <c r="D42" s="3" t="s">
        <v>49</v>
      </c>
      <c r="E42" s="3" t="s">
        <v>11</v>
      </c>
      <c r="F42" s="3">
        <v>187</v>
      </c>
      <c r="G42" s="3"/>
    </row>
    <row r="43" spans="1:7" ht="15" customHeight="1">
      <c r="A43" s="2" t="s">
        <v>444</v>
      </c>
      <c r="B43" s="2" t="s">
        <v>23</v>
      </c>
      <c r="C43" s="2">
        <v>6</v>
      </c>
      <c r="D43" s="2" t="s">
        <v>49</v>
      </c>
      <c r="E43" s="2" t="s">
        <v>11</v>
      </c>
      <c r="F43" s="2">
        <v>204</v>
      </c>
      <c r="G43" s="2"/>
    </row>
    <row r="44" spans="1:7" ht="15" customHeight="1">
      <c r="A44" s="3" t="s">
        <v>445</v>
      </c>
      <c r="B44" s="3" t="s">
        <v>9</v>
      </c>
      <c r="C44" s="3">
        <v>6</v>
      </c>
      <c r="D44" s="3" t="s">
        <v>49</v>
      </c>
      <c r="E44" s="3" t="s">
        <v>11</v>
      </c>
      <c r="F44" s="3">
        <v>149</v>
      </c>
      <c r="G44" s="3"/>
    </row>
    <row r="45" spans="1:7" ht="15" customHeight="1">
      <c r="A45" s="2" t="s">
        <v>446</v>
      </c>
      <c r="B45" s="2" t="s">
        <v>13</v>
      </c>
      <c r="C45" s="2">
        <v>6</v>
      </c>
      <c r="D45" s="2" t="s">
        <v>49</v>
      </c>
      <c r="E45" s="2" t="s">
        <v>11</v>
      </c>
      <c r="F45" s="2">
        <v>163</v>
      </c>
      <c r="G45" s="2"/>
    </row>
    <row r="46" spans="1:7" ht="15" customHeight="1">
      <c r="A46" s="3" t="s">
        <v>447</v>
      </c>
      <c r="B46" s="3" t="s">
        <v>15</v>
      </c>
      <c r="C46" s="3">
        <v>7</v>
      </c>
      <c r="D46" s="3" t="s">
        <v>49</v>
      </c>
      <c r="E46" s="3" t="s">
        <v>11</v>
      </c>
      <c r="F46" s="3">
        <v>198</v>
      </c>
      <c r="G46" s="3"/>
    </row>
    <row r="47" spans="1:7" ht="15" customHeight="1">
      <c r="A47" s="2" t="s">
        <v>448</v>
      </c>
      <c r="B47" s="2" t="s">
        <v>17</v>
      </c>
      <c r="C47" s="2">
        <v>7</v>
      </c>
      <c r="D47" s="2" t="s">
        <v>49</v>
      </c>
      <c r="E47" s="2" t="s">
        <v>11</v>
      </c>
      <c r="F47" s="2">
        <v>204</v>
      </c>
      <c r="G47" s="2"/>
    </row>
    <row r="48" spans="1:7" ht="15" customHeight="1">
      <c r="A48" s="3" t="s">
        <v>449</v>
      </c>
      <c r="B48" s="3" t="s">
        <v>19</v>
      </c>
      <c r="C48" s="3">
        <v>7</v>
      </c>
      <c r="D48" s="3" t="s">
        <v>49</v>
      </c>
      <c r="E48" s="3" t="s">
        <v>11</v>
      </c>
      <c r="F48" s="3">
        <v>208</v>
      </c>
      <c r="G48" s="3"/>
    </row>
    <row r="49" spans="1:7" ht="15" customHeight="1">
      <c r="A49" s="2" t="s">
        <v>450</v>
      </c>
      <c r="B49" s="2" t="s">
        <v>21</v>
      </c>
      <c r="C49" s="2">
        <v>7</v>
      </c>
      <c r="D49" s="2" t="s">
        <v>49</v>
      </c>
      <c r="E49" s="2" t="s">
        <v>11</v>
      </c>
      <c r="F49" s="2">
        <v>181</v>
      </c>
      <c r="G49" s="2"/>
    </row>
    <row r="50" spans="1:7" ht="15" customHeight="1">
      <c r="A50" s="3" t="s">
        <v>451</v>
      </c>
      <c r="B50" s="3" t="s">
        <v>23</v>
      </c>
      <c r="C50" s="3">
        <v>7</v>
      </c>
      <c r="D50" s="3" t="s">
        <v>49</v>
      </c>
      <c r="E50" s="3" t="s">
        <v>11</v>
      </c>
      <c r="F50" s="3">
        <v>175</v>
      </c>
      <c r="G50" s="3"/>
    </row>
    <row r="51" spans="1:7" ht="15" customHeight="1">
      <c r="A51" s="2" t="s">
        <v>452</v>
      </c>
      <c r="B51" s="2" t="s">
        <v>9</v>
      </c>
      <c r="C51" s="2">
        <v>7</v>
      </c>
      <c r="D51" s="2" t="s">
        <v>49</v>
      </c>
      <c r="E51" s="2" t="s">
        <v>11</v>
      </c>
      <c r="F51" s="2">
        <v>188</v>
      </c>
      <c r="G51" s="2"/>
    </row>
    <row r="52" spans="1:7" ht="15" customHeight="1">
      <c r="A52" s="3" t="s">
        <v>453</v>
      </c>
      <c r="B52" s="3" t="s">
        <v>13</v>
      </c>
      <c r="C52" s="3">
        <v>7</v>
      </c>
      <c r="D52" s="3" t="s">
        <v>49</v>
      </c>
      <c r="E52" s="3" t="s">
        <v>11</v>
      </c>
      <c r="F52" s="3">
        <v>174</v>
      </c>
      <c r="G52" s="3"/>
    </row>
    <row r="53" spans="1:7" ht="15" customHeight="1">
      <c r="A53" s="2" t="s">
        <v>454</v>
      </c>
      <c r="B53" s="2" t="s">
        <v>15</v>
      </c>
      <c r="C53" s="2">
        <v>8</v>
      </c>
      <c r="D53" s="2" t="s">
        <v>49</v>
      </c>
      <c r="E53" s="2" t="s">
        <v>11</v>
      </c>
      <c r="F53" s="2">
        <v>189</v>
      </c>
      <c r="G53" s="2"/>
    </row>
    <row r="54" spans="1:7" ht="15" customHeight="1">
      <c r="A54" s="3" t="s">
        <v>455</v>
      </c>
      <c r="B54" s="3" t="s">
        <v>17</v>
      </c>
      <c r="C54" s="3">
        <v>8</v>
      </c>
      <c r="D54" s="3" t="s">
        <v>49</v>
      </c>
      <c r="E54" s="3" t="s">
        <v>11</v>
      </c>
      <c r="F54" s="3">
        <v>224</v>
      </c>
      <c r="G54" s="3"/>
    </row>
    <row r="55" spans="1:7" ht="15" customHeight="1">
      <c r="A55" s="2" t="s">
        <v>456</v>
      </c>
      <c r="B55" s="2" t="s">
        <v>19</v>
      </c>
      <c r="C55" s="2">
        <v>8</v>
      </c>
      <c r="D55" s="2" t="s">
        <v>49</v>
      </c>
      <c r="E55" s="2" t="s">
        <v>11</v>
      </c>
      <c r="F55" s="2">
        <v>203</v>
      </c>
      <c r="G55" s="2"/>
    </row>
    <row r="56" spans="1:7" ht="15" customHeight="1">
      <c r="A56" s="3" t="s">
        <v>457</v>
      </c>
      <c r="B56" s="3" t="s">
        <v>21</v>
      </c>
      <c r="C56" s="3">
        <v>8</v>
      </c>
      <c r="D56" s="3" t="s">
        <v>49</v>
      </c>
      <c r="E56" s="3" t="s">
        <v>11</v>
      </c>
      <c r="F56" s="3">
        <v>219</v>
      </c>
      <c r="G56" s="3"/>
    </row>
    <row r="57" spans="1:7" ht="15" customHeight="1">
      <c r="A57" s="2" t="s">
        <v>458</v>
      </c>
      <c r="B57" s="2" t="s">
        <v>23</v>
      </c>
      <c r="C57" s="2">
        <v>8</v>
      </c>
      <c r="D57" s="2" t="s">
        <v>49</v>
      </c>
      <c r="E57" s="2" t="s">
        <v>11</v>
      </c>
      <c r="F57" s="2">
        <v>203</v>
      </c>
      <c r="G57" s="2"/>
    </row>
    <row r="58" spans="1:7" ht="15" customHeight="1">
      <c r="A58" s="3" t="s">
        <v>459</v>
      </c>
      <c r="B58" s="3" t="s">
        <v>9</v>
      </c>
      <c r="C58" s="3">
        <v>8</v>
      </c>
      <c r="D58" s="3" t="s">
        <v>49</v>
      </c>
      <c r="E58" s="3" t="s">
        <v>11</v>
      </c>
      <c r="F58" s="3">
        <v>203</v>
      </c>
      <c r="G58" s="3"/>
    </row>
    <row r="59" spans="1:7" ht="15" customHeight="1">
      <c r="A59" s="2" t="s">
        <v>460</v>
      </c>
      <c r="B59" s="2" t="s">
        <v>13</v>
      </c>
      <c r="C59" s="2">
        <v>8</v>
      </c>
      <c r="D59" s="2" t="s">
        <v>49</v>
      </c>
      <c r="E59" s="2" t="s">
        <v>11</v>
      </c>
      <c r="F59" s="2">
        <v>199</v>
      </c>
      <c r="G59" s="2"/>
    </row>
    <row r="60" spans="1:7" ht="15" customHeight="1">
      <c r="A60" s="3" t="s">
        <v>461</v>
      </c>
      <c r="B60" s="3" t="s">
        <v>15</v>
      </c>
      <c r="C60" s="3">
        <v>9</v>
      </c>
      <c r="D60" s="3" t="s">
        <v>49</v>
      </c>
      <c r="E60" s="3" t="s">
        <v>11</v>
      </c>
      <c r="F60" s="3">
        <v>200</v>
      </c>
      <c r="G60" s="3"/>
    </row>
    <row r="61" spans="1:7" ht="15" customHeight="1">
      <c r="A61" s="2" t="s">
        <v>462</v>
      </c>
      <c r="B61" s="2" t="s">
        <v>17</v>
      </c>
      <c r="C61" s="2">
        <v>9</v>
      </c>
      <c r="D61" s="2" t="s">
        <v>49</v>
      </c>
      <c r="E61" s="2" t="s">
        <v>11</v>
      </c>
      <c r="F61" s="2">
        <v>219</v>
      </c>
      <c r="G61" s="2"/>
    </row>
    <row r="62" spans="1:7" ht="15" customHeight="1">
      <c r="A62" s="3" t="s">
        <v>463</v>
      </c>
      <c r="B62" s="3" t="s">
        <v>19</v>
      </c>
      <c r="C62" s="3">
        <v>9</v>
      </c>
      <c r="D62" s="3" t="s">
        <v>78</v>
      </c>
      <c r="E62" s="3" t="s">
        <v>11</v>
      </c>
      <c r="F62" s="3">
        <v>214</v>
      </c>
      <c r="G62" s="3"/>
    </row>
    <row r="63" spans="1:7" ht="15" customHeight="1">
      <c r="A63" s="2" t="s">
        <v>464</v>
      </c>
      <c r="B63" s="2" t="s">
        <v>21</v>
      </c>
      <c r="C63" s="2">
        <v>9</v>
      </c>
      <c r="D63" s="2" t="s">
        <v>78</v>
      </c>
      <c r="E63" s="2" t="s">
        <v>11</v>
      </c>
      <c r="F63" s="2">
        <v>226</v>
      </c>
      <c r="G63" s="2"/>
    </row>
    <row r="64" spans="1:7" ht="15" customHeight="1">
      <c r="A64" s="3" t="s">
        <v>465</v>
      </c>
      <c r="B64" s="3" t="s">
        <v>23</v>
      </c>
      <c r="C64" s="3">
        <v>9</v>
      </c>
      <c r="D64" s="3" t="s">
        <v>78</v>
      </c>
      <c r="E64" s="3" t="s">
        <v>11</v>
      </c>
      <c r="F64" s="3">
        <v>191</v>
      </c>
      <c r="G64" s="3"/>
    </row>
    <row r="65" spans="1:7" ht="15" customHeight="1">
      <c r="A65" s="2" t="s">
        <v>466</v>
      </c>
      <c r="B65" s="2" t="s">
        <v>9</v>
      </c>
      <c r="C65" s="2">
        <v>9</v>
      </c>
      <c r="D65" s="2" t="s">
        <v>78</v>
      </c>
      <c r="E65" s="2" t="s">
        <v>11</v>
      </c>
      <c r="F65" s="2">
        <v>187</v>
      </c>
      <c r="G65" s="2"/>
    </row>
    <row r="66" spans="1:7" ht="15" customHeight="1">
      <c r="A66" s="3" t="s">
        <v>467</v>
      </c>
      <c r="B66" s="3" t="s">
        <v>13</v>
      </c>
      <c r="C66" s="3">
        <v>9</v>
      </c>
      <c r="D66" s="3" t="s">
        <v>78</v>
      </c>
      <c r="E66" s="3" t="s">
        <v>11</v>
      </c>
      <c r="F66" s="3">
        <v>193</v>
      </c>
      <c r="G66" s="3"/>
    </row>
    <row r="67" spans="1:7" ht="15" customHeight="1">
      <c r="A67" s="2" t="s">
        <v>468</v>
      </c>
      <c r="B67" s="2" t="s">
        <v>15</v>
      </c>
      <c r="C67" s="2">
        <v>10</v>
      </c>
      <c r="D67" s="2" t="s">
        <v>78</v>
      </c>
      <c r="E67" s="2" t="s">
        <v>11</v>
      </c>
      <c r="F67" s="2">
        <v>181</v>
      </c>
      <c r="G67" s="2"/>
    </row>
    <row r="68" spans="1:7" ht="15" customHeight="1">
      <c r="A68" s="3" t="s">
        <v>469</v>
      </c>
      <c r="B68" s="3" t="s">
        <v>17</v>
      </c>
      <c r="C68" s="3">
        <v>10</v>
      </c>
      <c r="D68" s="3" t="s">
        <v>78</v>
      </c>
      <c r="E68" s="3" t="s">
        <v>11</v>
      </c>
      <c r="F68" s="3">
        <v>190</v>
      </c>
      <c r="G68" s="3"/>
    </row>
    <row r="69" spans="1:7" ht="15" customHeight="1">
      <c r="A69" s="2" t="s">
        <v>470</v>
      </c>
      <c r="B69" s="2" t="s">
        <v>19</v>
      </c>
      <c r="C69" s="2">
        <v>10</v>
      </c>
      <c r="D69" s="2" t="s">
        <v>78</v>
      </c>
      <c r="E69" s="2" t="s">
        <v>11</v>
      </c>
      <c r="F69" s="2">
        <v>178</v>
      </c>
      <c r="G69" s="2"/>
    </row>
    <row r="70" spans="1:7" ht="15" customHeight="1">
      <c r="A70" s="3" t="s">
        <v>471</v>
      </c>
      <c r="B70" s="3" t="s">
        <v>21</v>
      </c>
      <c r="C70" s="3">
        <v>10</v>
      </c>
      <c r="D70" s="3" t="s">
        <v>78</v>
      </c>
      <c r="E70" s="3" t="s">
        <v>11</v>
      </c>
      <c r="F70" s="3">
        <v>205</v>
      </c>
      <c r="G70" s="3"/>
    </row>
    <row r="71" spans="1:7" ht="15" customHeight="1">
      <c r="A71" s="2" t="s">
        <v>472</v>
      </c>
      <c r="B71" s="2" t="s">
        <v>23</v>
      </c>
      <c r="C71" s="2">
        <v>10</v>
      </c>
      <c r="D71" s="2" t="s">
        <v>78</v>
      </c>
      <c r="E71" s="2" t="s">
        <v>11</v>
      </c>
      <c r="F71" s="2">
        <v>221</v>
      </c>
      <c r="G71" s="2"/>
    </row>
    <row r="72" spans="1:7" ht="15" customHeight="1">
      <c r="A72" s="3" t="s">
        <v>473</v>
      </c>
      <c r="B72" s="3" t="s">
        <v>9</v>
      </c>
      <c r="C72" s="3">
        <v>10</v>
      </c>
      <c r="D72" s="3" t="s">
        <v>78</v>
      </c>
      <c r="E72" s="3" t="s">
        <v>11</v>
      </c>
      <c r="F72" s="3">
        <v>203</v>
      </c>
      <c r="G72" s="3"/>
    </row>
    <row r="73" spans="1:7" ht="15" customHeight="1">
      <c r="A73" s="2" t="s">
        <v>474</v>
      </c>
      <c r="B73" s="2" t="s">
        <v>13</v>
      </c>
      <c r="C73" s="2">
        <v>10</v>
      </c>
      <c r="D73" s="2" t="s">
        <v>78</v>
      </c>
      <c r="E73" s="2" t="s">
        <v>11</v>
      </c>
      <c r="F73" s="2">
        <v>182</v>
      </c>
      <c r="G73" s="2"/>
    </row>
    <row r="74" spans="1:7" ht="15" customHeight="1">
      <c r="A74" s="3" t="s">
        <v>475</v>
      </c>
      <c r="B74" s="3" t="s">
        <v>15</v>
      </c>
      <c r="C74" s="3">
        <v>11</v>
      </c>
      <c r="D74" s="3" t="s">
        <v>78</v>
      </c>
      <c r="E74" s="3" t="s">
        <v>11</v>
      </c>
      <c r="F74" s="3">
        <v>236</v>
      </c>
      <c r="G74" s="3"/>
    </row>
    <row r="75" spans="1:7" ht="15" customHeight="1">
      <c r="A75" s="2" t="s">
        <v>476</v>
      </c>
      <c r="B75" s="2" t="s">
        <v>17</v>
      </c>
      <c r="C75" s="2">
        <v>11</v>
      </c>
      <c r="D75" s="2" t="s">
        <v>78</v>
      </c>
      <c r="E75" s="2" t="s">
        <v>11</v>
      </c>
      <c r="F75" s="2">
        <v>192</v>
      </c>
      <c r="G75" s="2"/>
    </row>
    <row r="76" spans="1:7" ht="15" customHeight="1">
      <c r="A76" s="3" t="s">
        <v>477</v>
      </c>
      <c r="B76" s="3" t="s">
        <v>19</v>
      </c>
      <c r="C76" s="3">
        <v>11</v>
      </c>
      <c r="D76" s="3" t="s">
        <v>78</v>
      </c>
      <c r="E76" s="3" t="s">
        <v>11</v>
      </c>
      <c r="F76" s="3">
        <v>187</v>
      </c>
      <c r="G76" s="3"/>
    </row>
    <row r="77" spans="1:7" ht="15" customHeight="1">
      <c r="A77" s="2" t="s">
        <v>478</v>
      </c>
      <c r="B77" s="2" t="s">
        <v>21</v>
      </c>
      <c r="C77" s="2">
        <v>11</v>
      </c>
      <c r="D77" s="2" t="s">
        <v>78</v>
      </c>
      <c r="E77" s="2" t="s">
        <v>11</v>
      </c>
      <c r="F77" s="2">
        <v>213</v>
      </c>
      <c r="G77" s="2"/>
    </row>
    <row r="78" spans="1:7" ht="15" customHeight="1">
      <c r="A78" s="3" t="s">
        <v>479</v>
      </c>
      <c r="B78" s="3" t="s">
        <v>23</v>
      </c>
      <c r="C78" s="3">
        <v>11</v>
      </c>
      <c r="D78" s="3" t="s">
        <v>78</v>
      </c>
      <c r="E78" s="3" t="s">
        <v>11</v>
      </c>
      <c r="F78" s="3">
        <v>220</v>
      </c>
      <c r="G78" s="3"/>
    </row>
    <row r="79" spans="1:7" ht="15" customHeight="1">
      <c r="A79" s="2" t="s">
        <v>480</v>
      </c>
      <c r="B79" s="2" t="s">
        <v>9</v>
      </c>
      <c r="C79" s="2">
        <v>11</v>
      </c>
      <c r="D79" s="2" t="s">
        <v>78</v>
      </c>
      <c r="E79" s="2" t="s">
        <v>11</v>
      </c>
      <c r="F79" s="2">
        <v>184</v>
      </c>
      <c r="G79" s="2"/>
    </row>
    <row r="80" spans="1:7" ht="15" customHeight="1">
      <c r="A80" s="3" t="s">
        <v>481</v>
      </c>
      <c r="B80" s="3" t="s">
        <v>13</v>
      </c>
      <c r="C80" s="3">
        <v>11</v>
      </c>
      <c r="D80" s="3" t="s">
        <v>78</v>
      </c>
      <c r="E80" s="3" t="s">
        <v>11</v>
      </c>
      <c r="F80" s="3">
        <v>154</v>
      </c>
      <c r="G80" s="3"/>
    </row>
    <row r="81" spans="1:7" ht="15" customHeight="1">
      <c r="A81" s="2" t="s">
        <v>482</v>
      </c>
      <c r="B81" s="2" t="s">
        <v>15</v>
      </c>
      <c r="C81" s="2">
        <v>12</v>
      </c>
      <c r="D81" s="2" t="s">
        <v>78</v>
      </c>
      <c r="E81" s="2" t="s">
        <v>11</v>
      </c>
      <c r="F81" s="2">
        <v>215</v>
      </c>
      <c r="G81" s="2"/>
    </row>
    <row r="82" spans="1:7" ht="15" customHeight="1">
      <c r="A82" s="3" t="s">
        <v>483</v>
      </c>
      <c r="B82" s="3" t="s">
        <v>17</v>
      </c>
      <c r="C82" s="3">
        <v>12</v>
      </c>
      <c r="D82" s="3" t="s">
        <v>78</v>
      </c>
      <c r="E82" s="3" t="s">
        <v>11</v>
      </c>
      <c r="F82" s="3">
        <v>197</v>
      </c>
      <c r="G82" s="3"/>
    </row>
    <row r="83" spans="1:7" ht="15" customHeight="1">
      <c r="A83" s="2" t="s">
        <v>484</v>
      </c>
      <c r="B83" s="2" t="s">
        <v>19</v>
      </c>
      <c r="C83" s="2">
        <v>12</v>
      </c>
      <c r="D83" s="2" t="s">
        <v>78</v>
      </c>
      <c r="E83" s="2" t="s">
        <v>11</v>
      </c>
      <c r="F83" s="2">
        <v>227</v>
      </c>
      <c r="G83" s="2"/>
    </row>
    <row r="84" spans="1:7" ht="15" customHeight="1">
      <c r="A84" s="3" t="s">
        <v>485</v>
      </c>
      <c r="B84" s="3" t="s">
        <v>21</v>
      </c>
      <c r="C84" s="3">
        <v>12</v>
      </c>
      <c r="D84" s="3" t="s">
        <v>78</v>
      </c>
      <c r="E84" s="3" t="s">
        <v>11</v>
      </c>
      <c r="F84" s="3">
        <v>223</v>
      </c>
      <c r="G84" s="3"/>
    </row>
    <row r="85" spans="1:7" ht="15" customHeight="1">
      <c r="A85" s="2" t="s">
        <v>486</v>
      </c>
      <c r="B85" s="2" t="s">
        <v>23</v>
      </c>
      <c r="C85" s="2">
        <v>12</v>
      </c>
      <c r="D85" s="2" t="s">
        <v>78</v>
      </c>
      <c r="E85" s="2" t="s">
        <v>11</v>
      </c>
      <c r="F85" s="2">
        <v>204</v>
      </c>
      <c r="G85" s="2"/>
    </row>
    <row r="86" spans="1:7" ht="15" customHeight="1">
      <c r="A86" s="3" t="s">
        <v>487</v>
      </c>
      <c r="B86" s="3" t="s">
        <v>9</v>
      </c>
      <c r="C86" s="3">
        <v>12</v>
      </c>
      <c r="D86" s="3" t="s">
        <v>78</v>
      </c>
      <c r="E86" s="3" t="s">
        <v>11</v>
      </c>
      <c r="F86" s="3">
        <v>181</v>
      </c>
      <c r="G86" s="3"/>
    </row>
    <row r="87" spans="1:7" ht="15" customHeight="1">
      <c r="A87" s="2" t="s">
        <v>488</v>
      </c>
      <c r="B87" s="2" t="s">
        <v>13</v>
      </c>
      <c r="C87" s="2">
        <v>12</v>
      </c>
      <c r="D87" s="2" t="s">
        <v>78</v>
      </c>
      <c r="E87" s="2" t="s">
        <v>11</v>
      </c>
      <c r="F87" s="2">
        <v>174</v>
      </c>
      <c r="G87" s="2"/>
    </row>
    <row r="88" spans="1:7" ht="15" customHeight="1">
      <c r="A88" s="3" t="s">
        <v>489</v>
      </c>
      <c r="B88" s="3" t="s">
        <v>15</v>
      </c>
      <c r="C88" s="3">
        <v>13</v>
      </c>
      <c r="D88" s="3" t="s">
        <v>78</v>
      </c>
      <c r="E88" s="3" t="s">
        <v>11</v>
      </c>
      <c r="F88" s="3">
        <v>219</v>
      </c>
      <c r="G88" s="3"/>
    </row>
    <row r="89" spans="1:7" ht="15" customHeight="1">
      <c r="A89" s="2" t="s">
        <v>490</v>
      </c>
      <c r="B89" s="2" t="s">
        <v>17</v>
      </c>
      <c r="C89" s="2">
        <v>13</v>
      </c>
      <c r="D89" s="2" t="s">
        <v>78</v>
      </c>
      <c r="E89" s="2" t="s">
        <v>11</v>
      </c>
      <c r="F89" s="2">
        <v>235</v>
      </c>
      <c r="G89" s="2"/>
    </row>
    <row r="90" spans="1:7" ht="15" customHeight="1">
      <c r="A90" s="3" t="s">
        <v>491</v>
      </c>
      <c r="B90" s="3" t="s">
        <v>19</v>
      </c>
      <c r="C90" s="3">
        <v>13</v>
      </c>
      <c r="D90" s="3" t="s">
        <v>78</v>
      </c>
      <c r="E90" s="3" t="s">
        <v>11</v>
      </c>
      <c r="F90" s="3">
        <v>207</v>
      </c>
      <c r="G90" s="3"/>
    </row>
    <row r="91" spans="1:7" ht="15" customHeight="1">
      <c r="A91" s="2" t="s">
        <v>492</v>
      </c>
      <c r="B91" s="2" t="s">
        <v>21</v>
      </c>
      <c r="C91" s="2">
        <v>13</v>
      </c>
      <c r="D91" s="2" t="s">
        <v>78</v>
      </c>
      <c r="E91" s="2" t="s">
        <v>11</v>
      </c>
      <c r="F91" s="2">
        <v>229</v>
      </c>
      <c r="G91" s="2"/>
    </row>
    <row r="92" spans="1:7" ht="15" customHeight="1">
      <c r="A92" s="3" t="s">
        <v>493</v>
      </c>
      <c r="B92" s="3" t="s">
        <v>23</v>
      </c>
      <c r="C92" s="3">
        <v>13</v>
      </c>
      <c r="D92" s="3" t="s">
        <v>78</v>
      </c>
      <c r="E92" s="3" t="s">
        <v>11</v>
      </c>
      <c r="F92" s="3">
        <v>215</v>
      </c>
      <c r="G92" s="3"/>
    </row>
    <row r="93" spans="1:7" ht="15" customHeight="1">
      <c r="A93" s="2" t="s">
        <v>494</v>
      </c>
      <c r="B93" s="2" t="s">
        <v>9</v>
      </c>
      <c r="C93" s="2">
        <v>13</v>
      </c>
      <c r="D93" s="2" t="s">
        <v>110</v>
      </c>
      <c r="E93" s="2" t="s">
        <v>111</v>
      </c>
      <c r="F93" s="2">
        <v>181</v>
      </c>
      <c r="G93" s="2"/>
    </row>
    <row r="94" spans="1:7" ht="15" customHeight="1">
      <c r="A94" s="3" t="s">
        <v>495</v>
      </c>
      <c r="B94" s="3" t="s">
        <v>13</v>
      </c>
      <c r="C94" s="3">
        <v>13</v>
      </c>
      <c r="D94" s="3" t="s">
        <v>110</v>
      </c>
      <c r="E94" s="3" t="s">
        <v>111</v>
      </c>
      <c r="F94" s="3">
        <v>192</v>
      </c>
      <c r="G94" s="3"/>
    </row>
    <row r="95" spans="1:7" ht="15" customHeight="1">
      <c r="A95" s="2" t="s">
        <v>496</v>
      </c>
      <c r="B95" s="2" t="s">
        <v>15</v>
      </c>
      <c r="C95" s="2">
        <v>14</v>
      </c>
      <c r="D95" s="2" t="s">
        <v>110</v>
      </c>
      <c r="E95" s="2" t="s">
        <v>111</v>
      </c>
      <c r="F95" s="2">
        <v>209</v>
      </c>
      <c r="G95" s="2"/>
    </row>
    <row r="96" spans="1:7" ht="15" customHeight="1">
      <c r="A96" s="3" t="s">
        <v>497</v>
      </c>
      <c r="B96" s="3" t="s">
        <v>17</v>
      </c>
      <c r="C96" s="3">
        <v>14</v>
      </c>
      <c r="D96" s="3" t="s">
        <v>110</v>
      </c>
      <c r="E96" s="3" t="s">
        <v>111</v>
      </c>
      <c r="F96" s="3">
        <v>217</v>
      </c>
      <c r="G96" s="3"/>
    </row>
    <row r="97" spans="1:7" ht="15" customHeight="1">
      <c r="A97" s="2" t="s">
        <v>498</v>
      </c>
      <c r="B97" s="2" t="s">
        <v>19</v>
      </c>
      <c r="C97" s="2">
        <v>14</v>
      </c>
      <c r="D97" s="2" t="s">
        <v>110</v>
      </c>
      <c r="E97" s="2" t="s">
        <v>111</v>
      </c>
      <c r="F97" s="2">
        <v>207</v>
      </c>
      <c r="G97" s="2"/>
    </row>
    <row r="98" spans="1:7" ht="15" customHeight="1">
      <c r="A98" s="3" t="s">
        <v>499</v>
      </c>
      <c r="B98" s="3" t="s">
        <v>21</v>
      </c>
      <c r="C98" s="3">
        <v>14</v>
      </c>
      <c r="D98" s="3" t="s">
        <v>110</v>
      </c>
      <c r="E98" s="3" t="s">
        <v>111</v>
      </c>
      <c r="F98" s="3">
        <v>255</v>
      </c>
      <c r="G98" s="3"/>
    </row>
    <row r="99" spans="1:7" ht="15" customHeight="1">
      <c r="A99" s="2" t="s">
        <v>500</v>
      </c>
      <c r="B99" s="2" t="s">
        <v>23</v>
      </c>
      <c r="C99" s="2">
        <v>14</v>
      </c>
      <c r="D99" s="2" t="s">
        <v>110</v>
      </c>
      <c r="E99" s="2" t="s">
        <v>111</v>
      </c>
      <c r="F99" s="2">
        <v>227</v>
      </c>
      <c r="G99" s="2"/>
    </row>
    <row r="100" spans="1:7" ht="15" customHeight="1">
      <c r="A100" s="3" t="s">
        <v>501</v>
      </c>
      <c r="B100" s="3" t="s">
        <v>9</v>
      </c>
      <c r="C100" s="3">
        <v>14</v>
      </c>
      <c r="D100" s="3" t="s">
        <v>110</v>
      </c>
      <c r="E100" s="3" t="s">
        <v>111</v>
      </c>
      <c r="F100" s="3">
        <v>187</v>
      </c>
      <c r="G100" s="3"/>
    </row>
    <row r="101" spans="1:7" ht="15" customHeight="1">
      <c r="A101" s="2" t="s">
        <v>502</v>
      </c>
      <c r="B101" s="2" t="s">
        <v>13</v>
      </c>
      <c r="C101" s="2">
        <v>14</v>
      </c>
      <c r="D101" s="2" t="s">
        <v>110</v>
      </c>
      <c r="E101" s="2" t="s">
        <v>111</v>
      </c>
      <c r="F101" s="2">
        <v>201</v>
      </c>
      <c r="G101" s="2"/>
    </row>
    <row r="102" spans="1:7" ht="15" customHeight="1">
      <c r="A102" s="3" t="s">
        <v>503</v>
      </c>
      <c r="B102" s="3" t="s">
        <v>15</v>
      </c>
      <c r="C102" s="3">
        <v>15</v>
      </c>
      <c r="D102" s="3" t="s">
        <v>110</v>
      </c>
      <c r="E102" s="3" t="s">
        <v>111</v>
      </c>
      <c r="F102" s="3">
        <v>227</v>
      </c>
      <c r="G102" s="3"/>
    </row>
    <row r="103" spans="1:7" ht="15" customHeight="1">
      <c r="A103" s="2" t="s">
        <v>504</v>
      </c>
      <c r="B103" s="2" t="s">
        <v>17</v>
      </c>
      <c r="C103" s="2">
        <v>15</v>
      </c>
      <c r="D103" s="2" t="s">
        <v>110</v>
      </c>
      <c r="E103" s="2" t="s">
        <v>111</v>
      </c>
      <c r="F103" s="2">
        <v>226</v>
      </c>
      <c r="G103" s="2"/>
    </row>
    <row r="104" spans="1:7" ht="15" customHeight="1">
      <c r="A104" s="3" t="s">
        <v>505</v>
      </c>
      <c r="B104" s="3" t="s">
        <v>19</v>
      </c>
      <c r="C104" s="3">
        <v>15</v>
      </c>
      <c r="D104" s="3" t="s">
        <v>110</v>
      </c>
      <c r="E104" s="3" t="s">
        <v>111</v>
      </c>
      <c r="F104" s="3">
        <v>239</v>
      </c>
      <c r="G104" s="3"/>
    </row>
    <row r="105" spans="1:7" ht="15" customHeight="1">
      <c r="A105" s="2" t="s">
        <v>506</v>
      </c>
      <c r="B105" s="2" t="s">
        <v>21</v>
      </c>
      <c r="C105" s="2">
        <v>15</v>
      </c>
      <c r="D105" s="2" t="s">
        <v>110</v>
      </c>
      <c r="E105" s="2" t="s">
        <v>111</v>
      </c>
      <c r="F105" s="2">
        <v>241</v>
      </c>
      <c r="G105" s="2"/>
    </row>
    <row r="106" spans="1:7" ht="15" customHeight="1">
      <c r="A106" s="3" t="s">
        <v>507</v>
      </c>
      <c r="B106" s="3" t="s">
        <v>23</v>
      </c>
      <c r="C106" s="3">
        <v>15</v>
      </c>
      <c r="D106" s="3" t="s">
        <v>110</v>
      </c>
      <c r="E106" s="3" t="s">
        <v>111</v>
      </c>
      <c r="F106" s="3">
        <v>223</v>
      </c>
      <c r="G106" s="3"/>
    </row>
    <row r="107" spans="1:7" ht="15" customHeight="1">
      <c r="A107" s="2" t="s">
        <v>508</v>
      </c>
      <c r="B107" s="2" t="s">
        <v>9</v>
      </c>
      <c r="C107" s="2">
        <v>15</v>
      </c>
      <c r="D107" s="2" t="s">
        <v>110</v>
      </c>
      <c r="E107" s="2" t="s">
        <v>111</v>
      </c>
      <c r="F107" s="2">
        <v>192</v>
      </c>
      <c r="G107" s="2"/>
    </row>
    <row r="108" spans="1:7" ht="15" customHeight="1">
      <c r="A108" s="3" t="s">
        <v>509</v>
      </c>
      <c r="B108" s="3" t="s">
        <v>13</v>
      </c>
      <c r="C108" s="3">
        <v>15</v>
      </c>
      <c r="D108" s="3" t="s">
        <v>110</v>
      </c>
      <c r="E108" s="3" t="s">
        <v>111</v>
      </c>
      <c r="F108" s="3">
        <v>198</v>
      </c>
      <c r="G108" s="3"/>
    </row>
    <row r="109" spans="1:7" ht="15" customHeight="1">
      <c r="A109" s="2" t="s">
        <v>510</v>
      </c>
      <c r="B109" s="2" t="s">
        <v>15</v>
      </c>
      <c r="C109" s="2">
        <v>16</v>
      </c>
      <c r="D109" s="2" t="s">
        <v>110</v>
      </c>
      <c r="E109" s="2" t="s">
        <v>111</v>
      </c>
      <c r="F109" s="2">
        <v>198</v>
      </c>
      <c r="G109" s="2"/>
    </row>
    <row r="110" spans="1:7" ht="15" customHeight="1">
      <c r="A110" s="3" t="s">
        <v>511</v>
      </c>
      <c r="B110" s="3" t="s">
        <v>17</v>
      </c>
      <c r="C110" s="3">
        <v>16</v>
      </c>
      <c r="D110" s="3" t="s">
        <v>110</v>
      </c>
      <c r="E110" s="3" t="s">
        <v>111</v>
      </c>
      <c r="F110" s="3">
        <v>210</v>
      </c>
      <c r="G110" s="3"/>
    </row>
    <row r="111" spans="1:7" ht="15" customHeight="1">
      <c r="A111" s="2" t="s">
        <v>512</v>
      </c>
      <c r="B111" s="2" t="s">
        <v>19</v>
      </c>
      <c r="C111" s="2">
        <v>16</v>
      </c>
      <c r="D111" s="2" t="s">
        <v>110</v>
      </c>
      <c r="E111" s="2" t="s">
        <v>111</v>
      </c>
      <c r="F111" s="2">
        <v>254</v>
      </c>
      <c r="G111" s="2"/>
    </row>
    <row r="112" spans="1:7" ht="15" customHeight="1">
      <c r="A112" s="3" t="s">
        <v>513</v>
      </c>
      <c r="B112" s="3" t="s">
        <v>21</v>
      </c>
      <c r="C112" s="3">
        <v>16</v>
      </c>
      <c r="D112" s="3" t="s">
        <v>110</v>
      </c>
      <c r="E112" s="3" t="s">
        <v>111</v>
      </c>
      <c r="F112" s="3">
        <v>258</v>
      </c>
      <c r="G112" s="3"/>
    </row>
    <row r="113" spans="1:7" ht="15" customHeight="1">
      <c r="A113" s="2" t="s">
        <v>514</v>
      </c>
      <c r="B113" s="2" t="s">
        <v>23</v>
      </c>
      <c r="C113" s="2">
        <v>16</v>
      </c>
      <c r="D113" s="2" t="s">
        <v>110</v>
      </c>
      <c r="E113" s="2" t="s">
        <v>111</v>
      </c>
      <c r="F113" s="2">
        <v>231</v>
      </c>
      <c r="G113" s="2"/>
    </row>
    <row r="114" spans="1:7" ht="15" customHeight="1">
      <c r="A114" s="3" t="s">
        <v>515</v>
      </c>
      <c r="B114" s="3" t="s">
        <v>9</v>
      </c>
      <c r="C114" s="3">
        <v>16</v>
      </c>
      <c r="D114" s="3" t="s">
        <v>110</v>
      </c>
      <c r="E114" s="3" t="s">
        <v>111</v>
      </c>
      <c r="F114" s="3">
        <v>213</v>
      </c>
      <c r="G114" s="3"/>
    </row>
    <row r="115" spans="1:7" ht="15" customHeight="1">
      <c r="A115" s="2" t="s">
        <v>516</v>
      </c>
      <c r="B115" s="2" t="s">
        <v>13</v>
      </c>
      <c r="C115" s="2">
        <v>16</v>
      </c>
      <c r="D115" s="2" t="s">
        <v>110</v>
      </c>
      <c r="E115" s="2" t="s">
        <v>111</v>
      </c>
      <c r="F115" s="2">
        <v>210</v>
      </c>
      <c r="G115" s="2"/>
    </row>
    <row r="116" spans="1:7" ht="15" customHeight="1">
      <c r="A116" s="3" t="s">
        <v>517</v>
      </c>
      <c r="B116" s="3" t="s">
        <v>15</v>
      </c>
      <c r="C116" s="3">
        <v>17</v>
      </c>
      <c r="D116" s="3" t="s">
        <v>110</v>
      </c>
      <c r="E116" s="3" t="s">
        <v>111</v>
      </c>
      <c r="F116" s="3">
        <v>282</v>
      </c>
      <c r="G116" s="3"/>
    </row>
    <row r="117" spans="1:7" ht="15" customHeight="1">
      <c r="A117" s="2" t="s">
        <v>518</v>
      </c>
      <c r="B117" s="2" t="s">
        <v>17</v>
      </c>
      <c r="C117" s="2">
        <v>17</v>
      </c>
      <c r="D117" s="2" t="s">
        <v>110</v>
      </c>
      <c r="E117" s="2" t="s">
        <v>111</v>
      </c>
      <c r="F117" s="2">
        <v>253</v>
      </c>
      <c r="G117" s="2"/>
    </row>
    <row r="118" spans="1:7" ht="15" customHeight="1">
      <c r="A118" s="3" t="s">
        <v>519</v>
      </c>
      <c r="B118" s="3" t="s">
        <v>19</v>
      </c>
      <c r="C118" s="3">
        <v>17</v>
      </c>
      <c r="D118" s="3" t="s">
        <v>110</v>
      </c>
      <c r="E118" s="3" t="s">
        <v>111</v>
      </c>
      <c r="F118" s="3">
        <v>235</v>
      </c>
      <c r="G118" s="3"/>
    </row>
    <row r="119" spans="1:7" ht="15" customHeight="1">
      <c r="A119" s="2" t="s">
        <v>520</v>
      </c>
      <c r="B119" s="2" t="s">
        <v>21</v>
      </c>
      <c r="C119" s="2">
        <v>17</v>
      </c>
      <c r="D119" s="2" t="s">
        <v>110</v>
      </c>
      <c r="E119" s="2" t="s">
        <v>111</v>
      </c>
      <c r="F119" s="2">
        <v>223</v>
      </c>
      <c r="G119" s="2"/>
    </row>
    <row r="120" spans="1:7" ht="15" customHeight="1">
      <c r="A120" s="3" t="s">
        <v>521</v>
      </c>
      <c r="B120" s="3" t="s">
        <v>23</v>
      </c>
      <c r="C120" s="3">
        <v>17</v>
      </c>
      <c r="D120" s="3" t="s">
        <v>110</v>
      </c>
      <c r="E120" s="3" t="s">
        <v>111</v>
      </c>
      <c r="F120" s="3">
        <v>214</v>
      </c>
      <c r="G120" s="3"/>
    </row>
    <row r="121" spans="1:7" ht="15" customHeight="1">
      <c r="A121" s="2" t="s">
        <v>522</v>
      </c>
      <c r="B121" s="2" t="s">
        <v>9</v>
      </c>
      <c r="C121" s="2">
        <v>17</v>
      </c>
      <c r="D121" s="2" t="s">
        <v>110</v>
      </c>
      <c r="E121" s="2" t="s">
        <v>111</v>
      </c>
      <c r="F121" s="2">
        <v>211</v>
      </c>
      <c r="G121" s="2"/>
    </row>
    <row r="122" spans="1:7" ht="15" customHeight="1">
      <c r="A122" s="3" t="s">
        <v>523</v>
      </c>
      <c r="B122" s="3" t="s">
        <v>13</v>
      </c>
      <c r="C122" s="3">
        <v>17</v>
      </c>
      <c r="D122" s="3" t="s">
        <v>110</v>
      </c>
      <c r="E122" s="3" t="s">
        <v>111</v>
      </c>
      <c r="F122" s="3">
        <v>198</v>
      </c>
      <c r="G122" s="3"/>
    </row>
    <row r="123" spans="1:7" ht="15" customHeight="1">
      <c r="A123" s="2" t="s">
        <v>524</v>
      </c>
      <c r="B123" s="2" t="s">
        <v>15</v>
      </c>
      <c r="C123" s="2">
        <v>18</v>
      </c>
      <c r="D123" s="2" t="s">
        <v>142</v>
      </c>
      <c r="E123" s="2" t="s">
        <v>111</v>
      </c>
      <c r="F123" s="2">
        <v>218</v>
      </c>
      <c r="G123" s="2"/>
    </row>
    <row r="124" spans="1:7" ht="15" customHeight="1">
      <c r="A124" s="3" t="s">
        <v>525</v>
      </c>
      <c r="B124" s="3" t="s">
        <v>17</v>
      </c>
      <c r="C124" s="3">
        <v>18</v>
      </c>
      <c r="D124" s="3" t="s">
        <v>142</v>
      </c>
      <c r="E124" s="3" t="s">
        <v>111</v>
      </c>
      <c r="F124" s="3">
        <v>230</v>
      </c>
      <c r="G124" s="3"/>
    </row>
    <row r="125" spans="1:7" ht="15" customHeight="1">
      <c r="A125" s="2" t="s">
        <v>526</v>
      </c>
      <c r="B125" s="2" t="s">
        <v>19</v>
      </c>
      <c r="C125" s="2">
        <v>18</v>
      </c>
      <c r="D125" s="2" t="s">
        <v>142</v>
      </c>
      <c r="E125" s="2" t="s">
        <v>111</v>
      </c>
      <c r="F125" s="2">
        <v>224</v>
      </c>
      <c r="G125" s="2"/>
    </row>
    <row r="126" spans="1:7" ht="15" customHeight="1">
      <c r="A126" s="3" t="s">
        <v>527</v>
      </c>
      <c r="B126" s="3" t="s">
        <v>21</v>
      </c>
      <c r="C126" s="3">
        <v>18</v>
      </c>
      <c r="D126" s="3" t="s">
        <v>142</v>
      </c>
      <c r="E126" s="3" t="s">
        <v>111</v>
      </c>
      <c r="F126" s="3">
        <v>266</v>
      </c>
      <c r="G126" s="3"/>
    </row>
    <row r="127" spans="1:7" ht="15" customHeight="1">
      <c r="A127" s="2" t="s">
        <v>528</v>
      </c>
      <c r="B127" s="2" t="s">
        <v>23</v>
      </c>
      <c r="C127" s="2">
        <v>18</v>
      </c>
      <c r="D127" s="2" t="s">
        <v>142</v>
      </c>
      <c r="E127" s="2" t="s">
        <v>111</v>
      </c>
      <c r="F127" s="2">
        <v>254</v>
      </c>
      <c r="G127" s="2"/>
    </row>
    <row r="128" spans="1:7" ht="15" customHeight="1">
      <c r="A128" s="3" t="s">
        <v>529</v>
      </c>
      <c r="B128" s="3" t="s">
        <v>9</v>
      </c>
      <c r="C128" s="3">
        <v>18</v>
      </c>
      <c r="D128" s="3" t="s">
        <v>142</v>
      </c>
      <c r="E128" s="3" t="s">
        <v>111</v>
      </c>
      <c r="F128" s="3">
        <v>212</v>
      </c>
      <c r="G128" s="3"/>
    </row>
    <row r="129" spans="1:7" ht="15" customHeight="1">
      <c r="A129" s="2" t="s">
        <v>530</v>
      </c>
      <c r="B129" s="2" t="s">
        <v>13</v>
      </c>
      <c r="C129" s="2">
        <v>18</v>
      </c>
      <c r="D129" s="2" t="s">
        <v>142</v>
      </c>
      <c r="E129" s="2" t="s">
        <v>111</v>
      </c>
      <c r="F129" s="2">
        <v>234</v>
      </c>
      <c r="G129" s="2"/>
    </row>
    <row r="130" spans="1:7" ht="15" customHeight="1">
      <c r="A130" s="3" t="s">
        <v>531</v>
      </c>
      <c r="B130" s="3" t="s">
        <v>15</v>
      </c>
      <c r="C130" s="3">
        <v>19</v>
      </c>
      <c r="D130" s="3" t="s">
        <v>142</v>
      </c>
      <c r="E130" s="3" t="s">
        <v>111</v>
      </c>
      <c r="F130" s="3">
        <v>244</v>
      </c>
      <c r="G130" s="3"/>
    </row>
    <row r="131" spans="1:7" ht="15" customHeight="1">
      <c r="A131" s="2" t="s">
        <v>532</v>
      </c>
      <c r="B131" s="2" t="s">
        <v>17</v>
      </c>
      <c r="C131" s="2">
        <v>19</v>
      </c>
      <c r="D131" s="2" t="s">
        <v>142</v>
      </c>
      <c r="E131" s="2" t="s">
        <v>111</v>
      </c>
      <c r="F131" s="2">
        <v>230</v>
      </c>
      <c r="G131" s="2"/>
    </row>
    <row r="132" spans="1:7" ht="15" customHeight="1">
      <c r="A132" s="3" t="s">
        <v>533</v>
      </c>
      <c r="B132" s="3" t="s">
        <v>19</v>
      </c>
      <c r="C132" s="3">
        <v>19</v>
      </c>
      <c r="D132" s="3" t="s">
        <v>142</v>
      </c>
      <c r="E132" s="3" t="s">
        <v>111</v>
      </c>
      <c r="F132" s="3">
        <v>266</v>
      </c>
      <c r="G132" s="3"/>
    </row>
    <row r="133" spans="1:7" ht="15" customHeight="1">
      <c r="A133" s="2" t="s">
        <v>534</v>
      </c>
      <c r="B133" s="2" t="s">
        <v>21</v>
      </c>
      <c r="C133" s="2">
        <v>19</v>
      </c>
      <c r="D133" s="2" t="s">
        <v>142</v>
      </c>
      <c r="E133" s="2" t="s">
        <v>111</v>
      </c>
      <c r="F133" s="2">
        <v>252</v>
      </c>
      <c r="G133" s="2"/>
    </row>
    <row r="134" spans="1:7" ht="15" customHeight="1">
      <c r="A134" s="3" t="s">
        <v>535</v>
      </c>
      <c r="B134" s="3" t="s">
        <v>23</v>
      </c>
      <c r="C134" s="3">
        <v>19</v>
      </c>
      <c r="D134" s="3" t="s">
        <v>142</v>
      </c>
      <c r="E134" s="3" t="s">
        <v>111</v>
      </c>
      <c r="F134" s="3">
        <v>229</v>
      </c>
      <c r="G134" s="3"/>
    </row>
    <row r="135" spans="1:7" ht="15" customHeight="1">
      <c r="A135" s="2" t="s">
        <v>536</v>
      </c>
      <c r="B135" s="2" t="s">
        <v>9</v>
      </c>
      <c r="C135" s="2">
        <v>19</v>
      </c>
      <c r="D135" s="2" t="s">
        <v>142</v>
      </c>
      <c r="E135" s="2" t="s">
        <v>111</v>
      </c>
      <c r="F135" s="2">
        <v>212</v>
      </c>
      <c r="G135" s="2"/>
    </row>
    <row r="136" spans="1:7" ht="15" customHeight="1">
      <c r="A136" s="3" t="s">
        <v>537</v>
      </c>
      <c r="B136" s="3" t="s">
        <v>13</v>
      </c>
      <c r="C136" s="3">
        <v>19</v>
      </c>
      <c r="D136" s="3" t="s">
        <v>142</v>
      </c>
      <c r="E136" s="3" t="s">
        <v>111</v>
      </c>
      <c r="F136" s="3">
        <v>202</v>
      </c>
      <c r="G136" s="3"/>
    </row>
    <row r="137" spans="1:7" ht="15" customHeight="1">
      <c r="A137" s="2" t="s">
        <v>538</v>
      </c>
      <c r="B137" s="2" t="s">
        <v>15</v>
      </c>
      <c r="C137" s="2">
        <v>20</v>
      </c>
      <c r="D137" s="2" t="s">
        <v>142</v>
      </c>
      <c r="E137" s="2" t="s">
        <v>111</v>
      </c>
      <c r="F137" s="2">
        <v>225</v>
      </c>
      <c r="G137" s="2"/>
    </row>
    <row r="138" spans="1:7" ht="15" customHeight="1">
      <c r="A138" s="3" t="s">
        <v>539</v>
      </c>
      <c r="B138" s="3" t="s">
        <v>17</v>
      </c>
      <c r="C138" s="3">
        <v>20</v>
      </c>
      <c r="D138" s="3" t="s">
        <v>142</v>
      </c>
      <c r="E138" s="3" t="s">
        <v>111</v>
      </c>
      <c r="F138" s="3">
        <v>260</v>
      </c>
      <c r="G138" s="3"/>
    </row>
    <row r="139" spans="1:7" ht="15" customHeight="1">
      <c r="A139" s="2" t="s">
        <v>540</v>
      </c>
      <c r="B139" s="2" t="s">
        <v>19</v>
      </c>
      <c r="C139" s="2">
        <v>20</v>
      </c>
      <c r="D139" s="2" t="s">
        <v>142</v>
      </c>
      <c r="E139" s="2" t="s">
        <v>111</v>
      </c>
      <c r="F139" s="2">
        <v>275</v>
      </c>
      <c r="G139" s="2"/>
    </row>
    <row r="140" spans="1:7" ht="15" customHeight="1">
      <c r="A140" s="3" t="s">
        <v>541</v>
      </c>
      <c r="B140" s="3" t="s">
        <v>21</v>
      </c>
      <c r="C140" s="3">
        <v>20</v>
      </c>
      <c r="D140" s="3" t="s">
        <v>142</v>
      </c>
      <c r="E140" s="3" t="s">
        <v>111</v>
      </c>
      <c r="F140" s="3">
        <v>226</v>
      </c>
      <c r="G140" s="3"/>
    </row>
    <row r="141" spans="1:7" ht="15" customHeight="1">
      <c r="A141" s="2" t="s">
        <v>542</v>
      </c>
      <c r="B141" s="2" t="s">
        <v>23</v>
      </c>
      <c r="C141" s="2">
        <v>20</v>
      </c>
      <c r="D141" s="2" t="s">
        <v>142</v>
      </c>
      <c r="E141" s="2" t="s">
        <v>111</v>
      </c>
      <c r="F141" s="2">
        <v>255</v>
      </c>
      <c r="G141" s="2"/>
    </row>
    <row r="142" spans="1:7" ht="15" customHeight="1">
      <c r="A142" s="3" t="s">
        <v>543</v>
      </c>
      <c r="B142" s="3" t="s">
        <v>9</v>
      </c>
      <c r="C142" s="3">
        <v>20</v>
      </c>
      <c r="D142" s="3" t="s">
        <v>142</v>
      </c>
      <c r="E142" s="3" t="s">
        <v>111</v>
      </c>
      <c r="F142" s="3">
        <v>207</v>
      </c>
      <c r="G142" s="3"/>
    </row>
    <row r="143" spans="1:7" ht="15" customHeight="1">
      <c r="A143" s="2" t="s">
        <v>544</v>
      </c>
      <c r="B143" s="2" t="s">
        <v>13</v>
      </c>
      <c r="C143" s="2">
        <v>20</v>
      </c>
      <c r="D143" s="2" t="s">
        <v>142</v>
      </c>
      <c r="E143" s="2" t="s">
        <v>111</v>
      </c>
      <c r="F143" s="2">
        <v>210</v>
      </c>
      <c r="G143" s="2"/>
    </row>
    <row r="144" spans="1:7" ht="15" customHeight="1">
      <c r="A144" s="3" t="s">
        <v>545</v>
      </c>
      <c r="B144" s="3" t="s">
        <v>15</v>
      </c>
      <c r="C144" s="3">
        <v>21</v>
      </c>
      <c r="D144" s="3" t="s">
        <v>142</v>
      </c>
      <c r="E144" s="3" t="s">
        <v>111</v>
      </c>
      <c r="F144" s="3">
        <v>239</v>
      </c>
      <c r="G144" s="3"/>
    </row>
    <row r="145" spans="1:7" ht="15" customHeight="1">
      <c r="A145" s="2" t="s">
        <v>546</v>
      </c>
      <c r="B145" s="2" t="s">
        <v>17</v>
      </c>
      <c r="C145" s="2">
        <v>21</v>
      </c>
      <c r="D145" s="2" t="s">
        <v>142</v>
      </c>
      <c r="E145" s="2" t="s">
        <v>111</v>
      </c>
      <c r="F145" s="2">
        <v>235</v>
      </c>
      <c r="G145" s="2"/>
    </row>
    <row r="146" spans="1:7" ht="15" customHeight="1">
      <c r="A146" s="3" t="s">
        <v>547</v>
      </c>
      <c r="B146" s="3" t="s">
        <v>19</v>
      </c>
      <c r="C146" s="3">
        <v>21</v>
      </c>
      <c r="D146" s="3" t="s">
        <v>142</v>
      </c>
      <c r="E146" s="3" t="s">
        <v>111</v>
      </c>
      <c r="F146" s="3">
        <v>249</v>
      </c>
      <c r="G146" s="3"/>
    </row>
    <row r="147" spans="1:7" ht="15" customHeight="1">
      <c r="A147" s="2" t="s">
        <v>548</v>
      </c>
      <c r="B147" s="2" t="s">
        <v>21</v>
      </c>
      <c r="C147" s="2">
        <v>21</v>
      </c>
      <c r="D147" s="2" t="s">
        <v>142</v>
      </c>
      <c r="E147" s="2" t="s">
        <v>111</v>
      </c>
      <c r="F147" s="2">
        <v>236</v>
      </c>
      <c r="G147" s="2"/>
    </row>
    <row r="148" spans="1:7" ht="15" customHeight="1">
      <c r="A148" s="3" t="s">
        <v>549</v>
      </c>
      <c r="B148" s="3" t="s">
        <v>23</v>
      </c>
      <c r="C148" s="3">
        <v>21</v>
      </c>
      <c r="D148" s="3" t="s">
        <v>142</v>
      </c>
      <c r="E148" s="3" t="s">
        <v>111</v>
      </c>
      <c r="F148" s="3">
        <v>253</v>
      </c>
      <c r="G148" s="3"/>
    </row>
    <row r="149" spans="1:7" ht="15" customHeight="1">
      <c r="A149" s="2" t="s">
        <v>550</v>
      </c>
      <c r="B149" s="2" t="s">
        <v>9</v>
      </c>
      <c r="C149" s="2">
        <v>21</v>
      </c>
      <c r="D149" s="2" t="s">
        <v>142</v>
      </c>
      <c r="E149" s="2" t="s">
        <v>111</v>
      </c>
      <c r="F149" s="2">
        <v>219</v>
      </c>
      <c r="G149" s="2"/>
    </row>
    <row r="150" spans="1:7" ht="15" customHeight="1">
      <c r="A150" s="3" t="s">
        <v>551</v>
      </c>
      <c r="B150" s="3" t="s">
        <v>13</v>
      </c>
      <c r="C150" s="3">
        <v>21</v>
      </c>
      <c r="D150" s="3" t="s">
        <v>142</v>
      </c>
      <c r="E150" s="3" t="s">
        <v>111</v>
      </c>
      <c r="F150" s="3">
        <v>216</v>
      </c>
      <c r="G150" s="3"/>
    </row>
    <row r="151" spans="1:7" ht="15" customHeight="1">
      <c r="A151" s="2" t="s">
        <v>552</v>
      </c>
      <c r="B151" s="2" t="s">
        <v>15</v>
      </c>
      <c r="C151" s="2">
        <v>22</v>
      </c>
      <c r="D151" s="2" t="s">
        <v>142</v>
      </c>
      <c r="E151" s="2" t="s">
        <v>111</v>
      </c>
      <c r="F151" s="2">
        <v>236</v>
      </c>
      <c r="G151" s="2"/>
    </row>
    <row r="152" spans="1:7" ht="15" customHeight="1">
      <c r="A152" s="3" t="s">
        <v>553</v>
      </c>
      <c r="B152" s="3" t="s">
        <v>17</v>
      </c>
      <c r="C152" s="3">
        <v>22</v>
      </c>
      <c r="D152" s="3" t="s">
        <v>142</v>
      </c>
      <c r="E152" s="3" t="s">
        <v>111</v>
      </c>
      <c r="F152" s="3">
        <v>242</v>
      </c>
      <c r="G152" s="3"/>
    </row>
    <row r="153" spans="1:7" ht="15" customHeight="1">
      <c r="A153" s="2" t="s">
        <v>554</v>
      </c>
      <c r="B153" s="2" t="s">
        <v>19</v>
      </c>
      <c r="C153" s="2">
        <v>22</v>
      </c>
      <c r="D153" s="2" t="s">
        <v>142</v>
      </c>
      <c r="E153" s="2" t="s">
        <v>111</v>
      </c>
      <c r="F153" s="2">
        <v>262</v>
      </c>
      <c r="G153" s="2"/>
    </row>
    <row r="154" spans="1:7" ht="15" customHeight="1">
      <c r="A154" s="3" t="s">
        <v>555</v>
      </c>
      <c r="B154" s="3" t="s">
        <v>21</v>
      </c>
      <c r="C154" s="3">
        <v>22</v>
      </c>
      <c r="D154" s="3" t="s">
        <v>174</v>
      </c>
      <c r="E154" s="3" t="s">
        <v>111</v>
      </c>
      <c r="F154" s="3">
        <v>258</v>
      </c>
      <c r="G154" s="3"/>
    </row>
    <row r="155" spans="1:7" ht="15" customHeight="1">
      <c r="A155" s="2" t="s">
        <v>556</v>
      </c>
      <c r="B155" s="2" t="s">
        <v>23</v>
      </c>
      <c r="C155" s="2">
        <v>22</v>
      </c>
      <c r="D155" s="2" t="s">
        <v>174</v>
      </c>
      <c r="E155" s="2" t="s">
        <v>111</v>
      </c>
      <c r="F155" s="2">
        <v>236</v>
      </c>
      <c r="G155" s="2"/>
    </row>
    <row r="156" spans="1:7" ht="15" customHeight="1">
      <c r="A156" s="3" t="s">
        <v>557</v>
      </c>
      <c r="B156" s="3" t="s">
        <v>9</v>
      </c>
      <c r="C156" s="3">
        <v>22</v>
      </c>
      <c r="D156" s="3" t="s">
        <v>174</v>
      </c>
      <c r="E156" s="3" t="s">
        <v>111</v>
      </c>
      <c r="F156" s="3">
        <v>223</v>
      </c>
      <c r="G156" s="3"/>
    </row>
    <row r="157" spans="1:7" ht="15" customHeight="1">
      <c r="A157" s="2" t="s">
        <v>558</v>
      </c>
      <c r="B157" s="2" t="s">
        <v>13</v>
      </c>
      <c r="C157" s="2">
        <v>22</v>
      </c>
      <c r="D157" s="2" t="s">
        <v>174</v>
      </c>
      <c r="E157" s="2" t="s">
        <v>111</v>
      </c>
      <c r="F157" s="2">
        <v>233</v>
      </c>
      <c r="G157" s="2"/>
    </row>
    <row r="158" spans="1:7" ht="15" customHeight="1">
      <c r="A158" s="3" t="s">
        <v>559</v>
      </c>
      <c r="B158" s="3" t="s">
        <v>15</v>
      </c>
      <c r="C158" s="3">
        <v>23</v>
      </c>
      <c r="D158" s="3" t="s">
        <v>174</v>
      </c>
      <c r="E158" s="3" t="s">
        <v>111</v>
      </c>
      <c r="F158" s="3">
        <v>227</v>
      </c>
      <c r="G158" s="3"/>
    </row>
    <row r="159" spans="1:7" ht="15" customHeight="1">
      <c r="A159" s="2" t="s">
        <v>560</v>
      </c>
      <c r="B159" s="2" t="s">
        <v>17</v>
      </c>
      <c r="C159" s="2">
        <v>23</v>
      </c>
      <c r="D159" s="2" t="s">
        <v>174</v>
      </c>
      <c r="E159" s="2" t="s">
        <v>111</v>
      </c>
      <c r="F159" s="2">
        <v>260</v>
      </c>
      <c r="G159" s="2"/>
    </row>
    <row r="160" spans="1:7" ht="15" customHeight="1">
      <c r="A160" s="3" t="s">
        <v>561</v>
      </c>
      <c r="B160" s="3" t="s">
        <v>19</v>
      </c>
      <c r="C160" s="3">
        <v>23</v>
      </c>
      <c r="D160" s="3" t="s">
        <v>174</v>
      </c>
      <c r="E160" s="3" t="s">
        <v>111</v>
      </c>
      <c r="F160" s="3">
        <v>242</v>
      </c>
      <c r="G160" s="3"/>
    </row>
    <row r="161" spans="1:7" ht="15" customHeight="1">
      <c r="A161" s="2" t="s">
        <v>562</v>
      </c>
      <c r="B161" s="2" t="s">
        <v>21</v>
      </c>
      <c r="C161" s="2">
        <v>23</v>
      </c>
      <c r="D161" s="2" t="s">
        <v>174</v>
      </c>
      <c r="E161" s="2" t="s">
        <v>111</v>
      </c>
      <c r="F161" s="2">
        <v>261</v>
      </c>
      <c r="G161" s="2"/>
    </row>
    <row r="162" spans="1:7" ht="15" customHeight="1">
      <c r="A162" s="3" t="s">
        <v>563</v>
      </c>
      <c r="B162" s="3" t="s">
        <v>23</v>
      </c>
      <c r="C162" s="3">
        <v>23</v>
      </c>
      <c r="D162" s="3" t="s">
        <v>174</v>
      </c>
      <c r="E162" s="3" t="s">
        <v>111</v>
      </c>
      <c r="F162" s="3">
        <v>241</v>
      </c>
      <c r="G162" s="3"/>
    </row>
    <row r="163" spans="1:7" ht="15" customHeight="1">
      <c r="A163" s="2" t="s">
        <v>564</v>
      </c>
      <c r="B163" s="2" t="s">
        <v>9</v>
      </c>
      <c r="C163" s="2">
        <v>23</v>
      </c>
      <c r="D163" s="2" t="s">
        <v>174</v>
      </c>
      <c r="E163" s="2" t="s">
        <v>111</v>
      </c>
      <c r="F163" s="2">
        <v>196</v>
      </c>
      <c r="G163" s="2"/>
    </row>
    <row r="164" spans="1:7" ht="15" customHeight="1">
      <c r="A164" s="3" t="s">
        <v>565</v>
      </c>
      <c r="B164" s="3" t="s">
        <v>13</v>
      </c>
      <c r="C164" s="3">
        <v>23</v>
      </c>
      <c r="D164" s="3" t="s">
        <v>174</v>
      </c>
      <c r="E164" s="3" t="s">
        <v>111</v>
      </c>
      <c r="F164" s="3">
        <v>198</v>
      </c>
      <c r="G164" s="3"/>
    </row>
    <row r="165" spans="1:7" ht="15" customHeight="1">
      <c r="A165" s="2" t="s">
        <v>566</v>
      </c>
      <c r="B165" s="2" t="s">
        <v>15</v>
      </c>
      <c r="C165" s="2">
        <v>24</v>
      </c>
      <c r="D165" s="2" t="s">
        <v>174</v>
      </c>
      <c r="E165" s="2" t="s">
        <v>111</v>
      </c>
      <c r="F165" s="2">
        <v>254</v>
      </c>
      <c r="G165" s="2"/>
    </row>
    <row r="166" spans="1:7" ht="15" customHeight="1">
      <c r="A166" s="3" t="s">
        <v>567</v>
      </c>
      <c r="B166" s="3" t="s">
        <v>17</v>
      </c>
      <c r="C166" s="3">
        <v>24</v>
      </c>
      <c r="D166" s="3" t="s">
        <v>174</v>
      </c>
      <c r="E166" s="3" t="s">
        <v>111</v>
      </c>
      <c r="F166" s="3">
        <v>257</v>
      </c>
      <c r="G166" s="3"/>
    </row>
    <row r="167" spans="1:7" ht="15" customHeight="1">
      <c r="A167" s="2" t="s">
        <v>568</v>
      </c>
      <c r="B167" s="2" t="s">
        <v>19</v>
      </c>
      <c r="C167" s="2">
        <v>24</v>
      </c>
      <c r="D167" s="2" t="s">
        <v>174</v>
      </c>
      <c r="E167" s="2" t="s">
        <v>111</v>
      </c>
      <c r="F167" s="2">
        <v>240</v>
      </c>
      <c r="G167" s="2"/>
    </row>
    <row r="168" spans="1:7" ht="15" customHeight="1">
      <c r="A168" s="3" t="s">
        <v>569</v>
      </c>
      <c r="B168" s="3" t="s">
        <v>21</v>
      </c>
      <c r="C168" s="3">
        <v>24</v>
      </c>
      <c r="D168" s="3" t="s">
        <v>174</v>
      </c>
      <c r="E168" s="3" t="s">
        <v>111</v>
      </c>
      <c r="F168" s="3">
        <v>263</v>
      </c>
      <c r="G168" s="3"/>
    </row>
    <row r="169" spans="1:7" ht="15" customHeight="1">
      <c r="A169" s="2" t="s">
        <v>570</v>
      </c>
      <c r="B169" s="2" t="s">
        <v>23</v>
      </c>
      <c r="C169" s="2">
        <v>24</v>
      </c>
      <c r="D169" s="2" t="s">
        <v>174</v>
      </c>
      <c r="E169" s="2" t="s">
        <v>111</v>
      </c>
      <c r="F169" s="2">
        <v>229</v>
      </c>
      <c r="G169" s="2"/>
    </row>
    <row r="170" spans="1:7" ht="15" customHeight="1">
      <c r="A170" s="3" t="s">
        <v>571</v>
      </c>
      <c r="B170" s="3" t="s">
        <v>9</v>
      </c>
      <c r="C170" s="3">
        <v>24</v>
      </c>
      <c r="D170" s="3" t="s">
        <v>174</v>
      </c>
      <c r="E170" s="3" t="s">
        <v>111</v>
      </c>
      <c r="F170" s="3">
        <v>223</v>
      </c>
      <c r="G170" s="3"/>
    </row>
    <row r="171" spans="1:7" ht="15" customHeight="1">
      <c r="A171" s="2" t="s">
        <v>572</v>
      </c>
      <c r="B171" s="2" t="s">
        <v>13</v>
      </c>
      <c r="C171" s="2">
        <v>24</v>
      </c>
      <c r="D171" s="2" t="s">
        <v>174</v>
      </c>
      <c r="E171" s="2" t="s">
        <v>111</v>
      </c>
      <c r="F171" s="2">
        <v>206</v>
      </c>
      <c r="G171" s="2"/>
    </row>
    <row r="172" spans="1:7" ht="15" customHeight="1">
      <c r="A172" s="3" t="s">
        <v>573</v>
      </c>
      <c r="B172" s="3" t="s">
        <v>15</v>
      </c>
      <c r="C172" s="3">
        <v>25</v>
      </c>
      <c r="D172" s="3" t="s">
        <v>174</v>
      </c>
      <c r="E172" s="3" t="s">
        <v>111</v>
      </c>
      <c r="F172" s="3">
        <v>244</v>
      </c>
      <c r="G172" s="3"/>
    </row>
    <row r="173" spans="1:7" ht="15" customHeight="1">
      <c r="A173" s="2" t="s">
        <v>574</v>
      </c>
      <c r="B173" s="2" t="s">
        <v>17</v>
      </c>
      <c r="C173" s="2">
        <v>25</v>
      </c>
      <c r="D173" s="2" t="s">
        <v>174</v>
      </c>
      <c r="E173" s="2" t="s">
        <v>111</v>
      </c>
      <c r="F173" s="2">
        <v>255</v>
      </c>
      <c r="G173" s="2"/>
    </row>
    <row r="174" spans="1:7" ht="15" customHeight="1">
      <c r="A174" s="3" t="s">
        <v>575</v>
      </c>
      <c r="B174" s="3" t="s">
        <v>19</v>
      </c>
      <c r="C174" s="3">
        <v>25</v>
      </c>
      <c r="D174" s="3" t="s">
        <v>174</v>
      </c>
      <c r="E174" s="3" t="s">
        <v>111</v>
      </c>
      <c r="F174" s="3">
        <v>241</v>
      </c>
      <c r="G174" s="3"/>
    </row>
    <row r="175" spans="1:7" ht="15" customHeight="1">
      <c r="A175" s="2" t="s">
        <v>576</v>
      </c>
      <c r="B175" s="2" t="s">
        <v>21</v>
      </c>
      <c r="C175" s="2">
        <v>25</v>
      </c>
      <c r="D175" s="2" t="s">
        <v>174</v>
      </c>
      <c r="E175" s="2" t="s">
        <v>111</v>
      </c>
      <c r="F175" s="2">
        <v>248</v>
      </c>
      <c r="G175" s="2"/>
    </row>
    <row r="176" spans="1:7" ht="15" customHeight="1">
      <c r="A176" s="3" t="s">
        <v>577</v>
      </c>
      <c r="B176" s="3" t="s">
        <v>23</v>
      </c>
      <c r="C176" s="3">
        <v>25</v>
      </c>
      <c r="D176" s="3" t="s">
        <v>174</v>
      </c>
      <c r="E176" s="3" t="s">
        <v>111</v>
      </c>
      <c r="F176" s="3">
        <v>269</v>
      </c>
      <c r="G176" s="3"/>
    </row>
    <row r="177" spans="1:7" ht="15" customHeight="1">
      <c r="A177" s="2" t="s">
        <v>578</v>
      </c>
      <c r="B177" s="2" t="s">
        <v>9</v>
      </c>
      <c r="C177" s="2">
        <v>25</v>
      </c>
      <c r="D177" s="2" t="s">
        <v>174</v>
      </c>
      <c r="E177" s="2" t="s">
        <v>111</v>
      </c>
      <c r="F177" s="2">
        <v>216</v>
      </c>
      <c r="G177" s="2"/>
    </row>
    <row r="178" spans="1:7" ht="15" customHeight="1">
      <c r="A178" s="3" t="s">
        <v>579</v>
      </c>
      <c r="B178" s="3" t="s">
        <v>13</v>
      </c>
      <c r="C178" s="3">
        <v>25</v>
      </c>
      <c r="D178" s="3" t="s">
        <v>174</v>
      </c>
      <c r="E178" s="3" t="s">
        <v>111</v>
      </c>
      <c r="F178" s="3">
        <v>237</v>
      </c>
      <c r="G178" s="3"/>
    </row>
    <row r="179" spans="1:7" ht="15" customHeight="1">
      <c r="A179" s="2" t="s">
        <v>580</v>
      </c>
      <c r="B179" s="2" t="s">
        <v>15</v>
      </c>
      <c r="C179" s="2">
        <v>26</v>
      </c>
      <c r="D179" s="2" t="s">
        <v>174</v>
      </c>
      <c r="E179" s="2" t="s">
        <v>111</v>
      </c>
      <c r="F179" s="2">
        <v>237</v>
      </c>
      <c r="G179" s="2"/>
    </row>
    <row r="180" spans="1:7" ht="15" customHeight="1">
      <c r="A180" s="3" t="s">
        <v>581</v>
      </c>
      <c r="B180" s="3" t="s">
        <v>17</v>
      </c>
      <c r="C180" s="3">
        <v>26</v>
      </c>
      <c r="D180" s="3" t="s">
        <v>174</v>
      </c>
      <c r="E180" s="3" t="s">
        <v>111</v>
      </c>
      <c r="F180" s="3">
        <v>262</v>
      </c>
      <c r="G180" s="3"/>
    </row>
    <row r="181" spans="1:7" ht="15" customHeight="1">
      <c r="A181" s="2" t="s">
        <v>582</v>
      </c>
      <c r="B181" s="2" t="s">
        <v>19</v>
      </c>
      <c r="C181" s="2">
        <v>26</v>
      </c>
      <c r="D181" s="2" t="s">
        <v>174</v>
      </c>
      <c r="E181" s="2" t="s">
        <v>111</v>
      </c>
      <c r="F181" s="2">
        <v>276</v>
      </c>
      <c r="G181" s="2"/>
    </row>
    <row r="182" spans="1:7" ht="15" customHeight="1">
      <c r="A182" s="3" t="s">
        <v>583</v>
      </c>
      <c r="B182" s="3" t="s">
        <v>21</v>
      </c>
      <c r="C182" s="3">
        <v>26</v>
      </c>
      <c r="D182" s="3" t="s">
        <v>174</v>
      </c>
      <c r="E182" s="3" t="s">
        <v>111</v>
      </c>
      <c r="F182" s="3">
        <v>217</v>
      </c>
      <c r="G182" s="3"/>
    </row>
    <row r="183" spans="1:7" ht="15" customHeight="1">
      <c r="A183" s="2" t="s">
        <v>584</v>
      </c>
      <c r="B183" s="2" t="s">
        <v>23</v>
      </c>
      <c r="C183" s="2">
        <v>26</v>
      </c>
      <c r="D183" s="2" t="s">
        <v>174</v>
      </c>
      <c r="E183" s="2" t="s">
        <v>111</v>
      </c>
      <c r="F183" s="2">
        <v>242</v>
      </c>
      <c r="G183" s="2"/>
    </row>
    <row r="184" spans="1:7" ht="15" customHeight="1">
      <c r="A184" s="3" t="s">
        <v>585</v>
      </c>
      <c r="B184" s="3" t="s">
        <v>9</v>
      </c>
      <c r="C184" s="3">
        <v>26</v>
      </c>
      <c r="D184" s="3" t="s">
        <v>205</v>
      </c>
      <c r="E184" s="3" t="s">
        <v>206</v>
      </c>
      <c r="F184" s="3">
        <v>233</v>
      </c>
      <c r="G184" s="3"/>
    </row>
    <row r="185" spans="1:7" ht="15" customHeight="1">
      <c r="A185" s="2" t="s">
        <v>586</v>
      </c>
      <c r="B185" s="2" t="s">
        <v>13</v>
      </c>
      <c r="C185" s="2">
        <v>26</v>
      </c>
      <c r="D185" s="2" t="s">
        <v>205</v>
      </c>
      <c r="E185" s="2" t="s">
        <v>206</v>
      </c>
      <c r="F185" s="2">
        <v>221</v>
      </c>
      <c r="G185" s="2"/>
    </row>
    <row r="186" spans="1:7" ht="15" customHeight="1">
      <c r="A186" s="3" t="s">
        <v>587</v>
      </c>
      <c r="B186" s="3" t="s">
        <v>15</v>
      </c>
      <c r="C186" s="3">
        <v>27</v>
      </c>
      <c r="D186" s="3" t="s">
        <v>205</v>
      </c>
      <c r="E186" s="3" t="s">
        <v>206</v>
      </c>
      <c r="F186" s="3">
        <v>260</v>
      </c>
      <c r="G186" s="3"/>
    </row>
    <row r="187" spans="1:7" ht="15" customHeight="1">
      <c r="A187" s="2" t="s">
        <v>588</v>
      </c>
      <c r="B187" s="2" t="s">
        <v>17</v>
      </c>
      <c r="C187" s="2">
        <v>27</v>
      </c>
      <c r="D187" s="2" t="s">
        <v>205</v>
      </c>
      <c r="E187" s="2" t="s">
        <v>206</v>
      </c>
      <c r="F187" s="2">
        <v>245</v>
      </c>
      <c r="G187" s="2"/>
    </row>
    <row r="188" spans="1:7" ht="15" customHeight="1">
      <c r="A188" s="3" t="s">
        <v>589</v>
      </c>
      <c r="B188" s="3" t="s">
        <v>19</v>
      </c>
      <c r="C188" s="3">
        <v>27</v>
      </c>
      <c r="D188" s="3" t="s">
        <v>205</v>
      </c>
      <c r="E188" s="3" t="s">
        <v>206</v>
      </c>
      <c r="F188" s="3">
        <v>256</v>
      </c>
      <c r="G188" s="3"/>
    </row>
    <row r="189" spans="1:7" ht="15" customHeight="1">
      <c r="A189" s="2" t="s">
        <v>590</v>
      </c>
      <c r="B189" s="2" t="s">
        <v>21</v>
      </c>
      <c r="C189" s="2">
        <v>27</v>
      </c>
      <c r="D189" s="2" t="s">
        <v>205</v>
      </c>
      <c r="E189" s="2" t="s">
        <v>206</v>
      </c>
      <c r="F189" s="2">
        <v>252</v>
      </c>
      <c r="G189" s="2"/>
    </row>
    <row r="190" spans="1:7" ht="15" customHeight="1">
      <c r="A190" s="3" t="s">
        <v>591</v>
      </c>
      <c r="B190" s="3" t="s">
        <v>23</v>
      </c>
      <c r="C190" s="3">
        <v>27</v>
      </c>
      <c r="D190" s="3" t="s">
        <v>205</v>
      </c>
      <c r="E190" s="3" t="s">
        <v>206</v>
      </c>
      <c r="F190" s="3">
        <v>272</v>
      </c>
      <c r="G190" s="3"/>
    </row>
    <row r="191" spans="1:7" ht="15" customHeight="1">
      <c r="A191" s="2" t="s">
        <v>592</v>
      </c>
      <c r="B191" s="2" t="s">
        <v>9</v>
      </c>
      <c r="C191" s="2">
        <v>27</v>
      </c>
      <c r="D191" s="2" t="s">
        <v>205</v>
      </c>
      <c r="E191" s="2" t="s">
        <v>206</v>
      </c>
      <c r="F191" s="2">
        <v>228</v>
      </c>
      <c r="G191" s="2"/>
    </row>
    <row r="192" spans="1:7" ht="15" customHeight="1">
      <c r="A192" s="3" t="s">
        <v>593</v>
      </c>
      <c r="B192" s="3" t="s">
        <v>13</v>
      </c>
      <c r="C192" s="3">
        <v>27</v>
      </c>
      <c r="D192" s="3" t="s">
        <v>205</v>
      </c>
      <c r="E192" s="3" t="s">
        <v>206</v>
      </c>
      <c r="F192" s="3">
        <v>229</v>
      </c>
      <c r="G192" s="3"/>
    </row>
    <row r="193" spans="1:7" ht="15" customHeight="1">
      <c r="A193" s="2" t="s">
        <v>594</v>
      </c>
      <c r="B193" s="2" t="s">
        <v>15</v>
      </c>
      <c r="C193" s="2">
        <v>28</v>
      </c>
      <c r="D193" s="2" t="s">
        <v>205</v>
      </c>
      <c r="E193" s="2" t="s">
        <v>206</v>
      </c>
      <c r="F193" s="2">
        <v>248</v>
      </c>
      <c r="G193" s="2"/>
    </row>
    <row r="194" spans="1:7" ht="15" customHeight="1">
      <c r="A194" s="3" t="s">
        <v>595</v>
      </c>
      <c r="B194" s="3" t="s">
        <v>17</v>
      </c>
      <c r="C194" s="3">
        <v>28</v>
      </c>
      <c r="D194" s="3" t="s">
        <v>205</v>
      </c>
      <c r="E194" s="3" t="s">
        <v>206</v>
      </c>
      <c r="F194" s="3">
        <v>247</v>
      </c>
      <c r="G194" s="3"/>
    </row>
    <row r="195" spans="1:7" ht="15" customHeight="1">
      <c r="A195" s="2" t="s">
        <v>596</v>
      </c>
      <c r="B195" s="2" t="s">
        <v>19</v>
      </c>
      <c r="C195" s="2">
        <v>28</v>
      </c>
      <c r="D195" s="2" t="s">
        <v>205</v>
      </c>
      <c r="E195" s="2" t="s">
        <v>206</v>
      </c>
      <c r="F195" s="2">
        <v>247</v>
      </c>
      <c r="G195" s="2"/>
    </row>
    <row r="196" spans="1:7" ht="15" customHeight="1">
      <c r="A196" s="3" t="s">
        <v>597</v>
      </c>
      <c r="B196" s="3" t="s">
        <v>21</v>
      </c>
      <c r="C196" s="3">
        <v>28</v>
      </c>
      <c r="D196" s="3" t="s">
        <v>205</v>
      </c>
      <c r="E196" s="3" t="s">
        <v>206</v>
      </c>
      <c r="F196" s="3">
        <v>260</v>
      </c>
      <c r="G196" s="3"/>
    </row>
    <row r="197" spans="1:7" ht="15" customHeight="1">
      <c r="A197" s="2" t="s">
        <v>598</v>
      </c>
      <c r="B197" s="2" t="s">
        <v>23</v>
      </c>
      <c r="C197" s="2">
        <v>28</v>
      </c>
      <c r="D197" s="2" t="s">
        <v>205</v>
      </c>
      <c r="E197" s="2" t="s">
        <v>206</v>
      </c>
      <c r="F197" s="2">
        <v>247</v>
      </c>
      <c r="G197" s="2"/>
    </row>
    <row r="198" spans="1:7" ht="15" customHeight="1">
      <c r="A198" s="3" t="s">
        <v>599</v>
      </c>
      <c r="B198" s="3" t="s">
        <v>9</v>
      </c>
      <c r="C198" s="3">
        <v>28</v>
      </c>
      <c r="D198" s="3" t="s">
        <v>205</v>
      </c>
      <c r="E198" s="3" t="s">
        <v>206</v>
      </c>
      <c r="F198" s="3">
        <v>228</v>
      </c>
      <c r="G198" s="3"/>
    </row>
    <row r="199" spans="1:7" ht="15" customHeight="1">
      <c r="A199" s="2" t="s">
        <v>600</v>
      </c>
      <c r="B199" s="2" t="s">
        <v>13</v>
      </c>
      <c r="C199" s="2">
        <v>28</v>
      </c>
      <c r="D199" s="2" t="s">
        <v>205</v>
      </c>
      <c r="E199" s="2" t="s">
        <v>206</v>
      </c>
      <c r="F199" s="2">
        <v>254</v>
      </c>
      <c r="G199" s="2"/>
    </row>
    <row r="200" spans="1:7" ht="15" customHeight="1">
      <c r="A200" s="3" t="s">
        <v>601</v>
      </c>
      <c r="B200" s="3" t="s">
        <v>15</v>
      </c>
      <c r="C200" s="3">
        <v>29</v>
      </c>
      <c r="D200" s="3" t="s">
        <v>205</v>
      </c>
      <c r="E200" s="3" t="s">
        <v>206</v>
      </c>
      <c r="F200" s="3">
        <v>266</v>
      </c>
      <c r="G200" s="3"/>
    </row>
    <row r="201" spans="1:7" ht="15" customHeight="1">
      <c r="A201" s="2" t="s">
        <v>602</v>
      </c>
      <c r="B201" s="2" t="s">
        <v>17</v>
      </c>
      <c r="C201" s="2">
        <v>29</v>
      </c>
      <c r="D201" s="2" t="s">
        <v>205</v>
      </c>
      <c r="E201" s="2" t="s">
        <v>206</v>
      </c>
      <c r="F201" s="2">
        <v>248</v>
      </c>
      <c r="G201" s="2"/>
    </row>
    <row r="202" spans="1:7" ht="15" customHeight="1">
      <c r="A202" s="3" t="s">
        <v>603</v>
      </c>
      <c r="B202" s="3" t="s">
        <v>19</v>
      </c>
      <c r="C202" s="3">
        <v>29</v>
      </c>
      <c r="D202" s="3" t="s">
        <v>205</v>
      </c>
      <c r="E202" s="3" t="s">
        <v>206</v>
      </c>
      <c r="F202" s="3">
        <v>271</v>
      </c>
      <c r="G202" s="3"/>
    </row>
    <row r="203" spans="1:7" ht="15" customHeight="1">
      <c r="A203" s="2" t="s">
        <v>604</v>
      </c>
      <c r="B203" s="2" t="s">
        <v>21</v>
      </c>
      <c r="C203" s="2">
        <v>29</v>
      </c>
      <c r="D203" s="2" t="s">
        <v>205</v>
      </c>
      <c r="E203" s="2" t="s">
        <v>206</v>
      </c>
      <c r="F203" s="2">
        <v>247</v>
      </c>
      <c r="G203" s="2"/>
    </row>
    <row r="204" spans="1:7" ht="15" customHeight="1">
      <c r="A204" s="3" t="s">
        <v>605</v>
      </c>
      <c r="B204" s="3" t="s">
        <v>23</v>
      </c>
      <c r="C204" s="3">
        <v>29</v>
      </c>
      <c r="D204" s="3" t="s">
        <v>205</v>
      </c>
      <c r="E204" s="3" t="s">
        <v>206</v>
      </c>
      <c r="F204" s="3">
        <v>222</v>
      </c>
      <c r="G204" s="3"/>
    </row>
    <row r="205" spans="1:7" ht="15" customHeight="1">
      <c r="A205" s="2" t="s">
        <v>606</v>
      </c>
      <c r="B205" s="2" t="s">
        <v>9</v>
      </c>
      <c r="C205" s="2">
        <v>29</v>
      </c>
      <c r="D205" s="2" t="s">
        <v>205</v>
      </c>
      <c r="E205" s="2" t="s">
        <v>206</v>
      </c>
      <c r="F205" s="2">
        <v>207</v>
      </c>
      <c r="G205" s="2"/>
    </row>
    <row r="206" spans="1:7" ht="15" customHeight="1">
      <c r="A206" s="3" t="s">
        <v>607</v>
      </c>
      <c r="B206" s="3" t="s">
        <v>13</v>
      </c>
      <c r="C206" s="3">
        <v>29</v>
      </c>
      <c r="D206" s="3" t="s">
        <v>205</v>
      </c>
      <c r="E206" s="3" t="s">
        <v>206</v>
      </c>
      <c r="F206" s="3">
        <v>194</v>
      </c>
      <c r="G206" s="3"/>
    </row>
    <row r="207" spans="1:7" ht="15" customHeight="1">
      <c r="A207" s="2" t="s">
        <v>608</v>
      </c>
      <c r="B207" s="2" t="s">
        <v>15</v>
      </c>
      <c r="C207" s="2">
        <v>30</v>
      </c>
      <c r="D207" s="2" t="s">
        <v>205</v>
      </c>
      <c r="E207" s="2" t="s">
        <v>206</v>
      </c>
      <c r="F207" s="2">
        <v>247</v>
      </c>
      <c r="G207" s="2"/>
    </row>
    <row r="208" spans="1:7" ht="15" customHeight="1">
      <c r="A208" s="3" t="s">
        <v>609</v>
      </c>
      <c r="B208" s="3" t="s">
        <v>17</v>
      </c>
      <c r="C208" s="3">
        <v>30</v>
      </c>
      <c r="D208" s="3" t="s">
        <v>205</v>
      </c>
      <c r="E208" s="3" t="s">
        <v>206</v>
      </c>
      <c r="F208" s="3">
        <v>252</v>
      </c>
      <c r="G208" s="3"/>
    </row>
    <row r="209" spans="1:7" ht="15" customHeight="1">
      <c r="A209" s="2" t="s">
        <v>610</v>
      </c>
      <c r="B209" s="2" t="s">
        <v>19</v>
      </c>
      <c r="C209" s="2">
        <v>30</v>
      </c>
      <c r="D209" s="2" t="s">
        <v>205</v>
      </c>
      <c r="E209" s="2" t="s">
        <v>206</v>
      </c>
      <c r="F209" s="2">
        <v>277</v>
      </c>
      <c r="G209" s="2"/>
    </row>
    <row r="210" spans="1:7" ht="15" customHeight="1">
      <c r="A210" s="3" t="s">
        <v>611</v>
      </c>
      <c r="B210" s="3" t="s">
        <v>21</v>
      </c>
      <c r="C210" s="3">
        <v>30</v>
      </c>
      <c r="D210" s="3" t="s">
        <v>205</v>
      </c>
      <c r="E210" s="3" t="s">
        <v>206</v>
      </c>
      <c r="F210" s="3">
        <v>256</v>
      </c>
      <c r="G210" s="3"/>
    </row>
    <row r="211" spans="1:7" ht="15" customHeight="1">
      <c r="A211" s="2" t="s">
        <v>612</v>
      </c>
      <c r="B211" s="2" t="s">
        <v>23</v>
      </c>
      <c r="C211" s="2">
        <v>30</v>
      </c>
      <c r="D211" s="2" t="s">
        <v>205</v>
      </c>
      <c r="E211" s="2" t="s">
        <v>206</v>
      </c>
      <c r="F211" s="2">
        <v>248</v>
      </c>
      <c r="G211" s="2"/>
    </row>
    <row r="212" spans="1:7" ht="15" customHeight="1">
      <c r="A212" s="3" t="s">
        <v>613</v>
      </c>
      <c r="B212" s="3" t="s">
        <v>9</v>
      </c>
      <c r="C212" s="3">
        <v>30</v>
      </c>
      <c r="D212" s="3" t="s">
        <v>205</v>
      </c>
      <c r="E212" s="3" t="s">
        <v>206</v>
      </c>
      <c r="F212" s="3">
        <v>233</v>
      </c>
      <c r="G212" s="3"/>
    </row>
    <row r="213" spans="1:7" ht="15" customHeight="1">
      <c r="A213" s="2" t="s">
        <v>614</v>
      </c>
      <c r="B213" s="2" t="s">
        <v>13</v>
      </c>
      <c r="C213" s="2">
        <v>30</v>
      </c>
      <c r="D213" s="2" t="s">
        <v>205</v>
      </c>
      <c r="E213" s="2" t="s">
        <v>206</v>
      </c>
      <c r="F213" s="2">
        <v>187</v>
      </c>
      <c r="G213" s="2"/>
    </row>
    <row r="214" spans="1:7" ht="15" customHeight="1">
      <c r="A214" s="3" t="s">
        <v>615</v>
      </c>
      <c r="B214" s="3" t="s">
        <v>15</v>
      </c>
      <c r="C214" s="3">
        <v>31</v>
      </c>
      <c r="D214" s="3" t="s">
        <v>205</v>
      </c>
      <c r="E214" s="3" t="s">
        <v>206</v>
      </c>
      <c r="F214" s="3">
        <v>254</v>
      </c>
      <c r="G214" s="3"/>
    </row>
    <row r="215" spans="1:7" ht="15" customHeight="1">
      <c r="A215" s="2" t="s">
        <v>616</v>
      </c>
      <c r="B215" s="2" t="s">
        <v>17</v>
      </c>
      <c r="C215" s="2">
        <v>31</v>
      </c>
      <c r="D215" s="2" t="s">
        <v>238</v>
      </c>
      <c r="E215" s="2" t="s">
        <v>206</v>
      </c>
      <c r="F215" s="2">
        <v>262</v>
      </c>
      <c r="G215" s="2"/>
    </row>
    <row r="216" spans="1:7" ht="15" customHeight="1">
      <c r="A216" s="3" t="s">
        <v>617</v>
      </c>
      <c r="B216" s="3" t="s">
        <v>19</v>
      </c>
      <c r="C216" s="3">
        <v>31</v>
      </c>
      <c r="D216" s="3" t="s">
        <v>238</v>
      </c>
      <c r="E216" s="3" t="s">
        <v>206</v>
      </c>
      <c r="F216" s="3">
        <v>228</v>
      </c>
      <c r="G216" s="3"/>
    </row>
    <row r="217" spans="1:7" ht="15" customHeight="1">
      <c r="A217" s="2" t="s">
        <v>618</v>
      </c>
      <c r="B217" s="2" t="s">
        <v>21</v>
      </c>
      <c r="C217" s="2">
        <v>31</v>
      </c>
      <c r="D217" s="2" t="s">
        <v>238</v>
      </c>
      <c r="E217" s="2" t="s">
        <v>206</v>
      </c>
      <c r="F217" s="2">
        <v>267</v>
      </c>
      <c r="G217" s="2"/>
    </row>
    <row r="218" spans="1:7" ht="15" customHeight="1">
      <c r="A218" s="3" t="s">
        <v>619</v>
      </c>
      <c r="B218" s="3" t="s">
        <v>23</v>
      </c>
      <c r="C218" s="3">
        <v>31</v>
      </c>
      <c r="D218" s="3" t="s">
        <v>238</v>
      </c>
      <c r="E218" s="3" t="s">
        <v>206</v>
      </c>
      <c r="F218" s="3">
        <v>254</v>
      </c>
      <c r="G218" s="3"/>
    </row>
    <row r="219" spans="1:7" ht="15" customHeight="1">
      <c r="A219" s="2" t="s">
        <v>620</v>
      </c>
      <c r="B219" s="2" t="s">
        <v>9</v>
      </c>
      <c r="C219" s="2">
        <v>31</v>
      </c>
      <c r="D219" s="2" t="s">
        <v>238</v>
      </c>
      <c r="E219" s="2" t="s">
        <v>206</v>
      </c>
      <c r="F219" s="2">
        <v>213</v>
      </c>
      <c r="G219" s="2"/>
    </row>
    <row r="220" spans="1:7" ht="15" customHeight="1">
      <c r="A220" s="3" t="s">
        <v>621</v>
      </c>
      <c r="B220" s="3" t="s">
        <v>13</v>
      </c>
      <c r="C220" s="3">
        <v>31</v>
      </c>
      <c r="D220" s="3" t="s">
        <v>238</v>
      </c>
      <c r="E220" s="3" t="s">
        <v>206</v>
      </c>
      <c r="F220" s="3">
        <v>228</v>
      </c>
      <c r="G220" s="3"/>
    </row>
    <row r="221" spans="1:7" ht="15" customHeight="1">
      <c r="A221" s="2" t="s">
        <v>622</v>
      </c>
      <c r="B221" s="2" t="s">
        <v>15</v>
      </c>
      <c r="C221" s="2">
        <v>32</v>
      </c>
      <c r="D221" s="2" t="s">
        <v>238</v>
      </c>
      <c r="E221" s="2" t="s">
        <v>206</v>
      </c>
      <c r="F221" s="2">
        <v>282</v>
      </c>
      <c r="G221" s="2"/>
    </row>
    <row r="222" spans="1:7" ht="15" customHeight="1">
      <c r="A222" s="3" t="s">
        <v>623</v>
      </c>
      <c r="B222" s="3" t="s">
        <v>17</v>
      </c>
      <c r="C222" s="3">
        <v>32</v>
      </c>
      <c r="D222" s="3" t="s">
        <v>238</v>
      </c>
      <c r="E222" s="3" t="s">
        <v>206</v>
      </c>
      <c r="F222" s="3">
        <v>251</v>
      </c>
      <c r="G222" s="3"/>
    </row>
    <row r="223" spans="1:7" ht="15" customHeight="1">
      <c r="A223" s="2" t="s">
        <v>624</v>
      </c>
      <c r="B223" s="2" t="s">
        <v>19</v>
      </c>
      <c r="C223" s="2">
        <v>32</v>
      </c>
      <c r="D223" s="2" t="s">
        <v>238</v>
      </c>
      <c r="E223" s="2" t="s">
        <v>206</v>
      </c>
      <c r="F223" s="2">
        <v>252</v>
      </c>
      <c r="G223" s="2"/>
    </row>
    <row r="224" spans="1:7" ht="15" customHeight="1">
      <c r="A224" s="3" t="s">
        <v>625</v>
      </c>
      <c r="B224" s="3" t="s">
        <v>21</v>
      </c>
      <c r="C224" s="3">
        <v>32</v>
      </c>
      <c r="D224" s="3" t="s">
        <v>238</v>
      </c>
      <c r="E224" s="3" t="s">
        <v>206</v>
      </c>
      <c r="F224" s="3">
        <v>241</v>
      </c>
      <c r="G224" s="3"/>
    </row>
    <row r="225" spans="1:7" ht="15" customHeight="1">
      <c r="A225" s="2" t="s">
        <v>626</v>
      </c>
      <c r="B225" s="2" t="s">
        <v>23</v>
      </c>
      <c r="C225" s="2">
        <v>32</v>
      </c>
      <c r="D225" s="2" t="s">
        <v>238</v>
      </c>
      <c r="E225" s="2" t="s">
        <v>206</v>
      </c>
      <c r="F225" s="2">
        <v>234</v>
      </c>
      <c r="G225" s="2"/>
    </row>
    <row r="226" spans="1:7" ht="15" customHeight="1">
      <c r="A226" s="3" t="s">
        <v>627</v>
      </c>
      <c r="B226" s="3" t="s">
        <v>9</v>
      </c>
      <c r="C226" s="3">
        <v>32</v>
      </c>
      <c r="D226" s="3" t="s">
        <v>238</v>
      </c>
      <c r="E226" s="3" t="s">
        <v>206</v>
      </c>
      <c r="F226" s="3">
        <v>229</v>
      </c>
      <c r="G226" s="3"/>
    </row>
    <row r="227" spans="1:7" ht="15" customHeight="1">
      <c r="A227" s="2" t="s">
        <v>628</v>
      </c>
      <c r="B227" s="2" t="s">
        <v>13</v>
      </c>
      <c r="C227" s="2">
        <v>32</v>
      </c>
      <c r="D227" s="2" t="s">
        <v>238</v>
      </c>
      <c r="E227" s="2" t="s">
        <v>206</v>
      </c>
      <c r="F227" s="2">
        <v>204</v>
      </c>
      <c r="G227" s="2"/>
    </row>
    <row r="228" spans="1:7" ht="15" customHeight="1">
      <c r="A228" s="3" t="s">
        <v>629</v>
      </c>
      <c r="B228" s="3" t="s">
        <v>15</v>
      </c>
      <c r="C228" s="3">
        <v>33</v>
      </c>
      <c r="D228" s="3" t="s">
        <v>238</v>
      </c>
      <c r="E228" s="3" t="s">
        <v>206</v>
      </c>
      <c r="F228" s="3">
        <v>247</v>
      </c>
      <c r="G228" s="3"/>
    </row>
    <row r="229" spans="1:7" ht="15" customHeight="1">
      <c r="A229" s="2" t="s">
        <v>630</v>
      </c>
      <c r="B229" s="2" t="s">
        <v>17</v>
      </c>
      <c r="C229" s="2">
        <v>33</v>
      </c>
      <c r="D229" s="2" t="s">
        <v>238</v>
      </c>
      <c r="E229" s="2" t="s">
        <v>206</v>
      </c>
      <c r="F229" s="2">
        <v>239</v>
      </c>
      <c r="G229" s="2"/>
    </row>
    <row r="230" spans="1:7" ht="15" customHeight="1">
      <c r="A230" s="3" t="s">
        <v>631</v>
      </c>
      <c r="B230" s="3" t="s">
        <v>19</v>
      </c>
      <c r="C230" s="3">
        <v>33</v>
      </c>
      <c r="D230" s="3" t="s">
        <v>238</v>
      </c>
      <c r="E230" s="3" t="s">
        <v>206</v>
      </c>
      <c r="F230" s="3">
        <v>253</v>
      </c>
      <c r="G230" s="3"/>
    </row>
    <row r="231" spans="1:7" ht="15" customHeight="1">
      <c r="A231" s="2" t="s">
        <v>632</v>
      </c>
      <c r="B231" s="2" t="s">
        <v>21</v>
      </c>
      <c r="C231" s="2">
        <v>33</v>
      </c>
      <c r="D231" s="2" t="s">
        <v>238</v>
      </c>
      <c r="E231" s="2" t="s">
        <v>206</v>
      </c>
      <c r="F231" s="2">
        <v>250</v>
      </c>
      <c r="G231" s="2"/>
    </row>
    <row r="232" spans="1:7" ht="15" customHeight="1">
      <c r="A232" s="3" t="s">
        <v>633</v>
      </c>
      <c r="B232" s="3" t="s">
        <v>23</v>
      </c>
      <c r="C232" s="3">
        <v>33</v>
      </c>
      <c r="D232" s="3" t="s">
        <v>238</v>
      </c>
      <c r="E232" s="3" t="s">
        <v>206</v>
      </c>
      <c r="F232" s="3">
        <v>260</v>
      </c>
      <c r="G232" s="3"/>
    </row>
    <row r="233" spans="1:7" ht="15" customHeight="1">
      <c r="A233" s="2" t="s">
        <v>634</v>
      </c>
      <c r="B233" s="2" t="s">
        <v>9</v>
      </c>
      <c r="C233" s="2">
        <v>33</v>
      </c>
      <c r="D233" s="2" t="s">
        <v>238</v>
      </c>
      <c r="E233" s="2" t="s">
        <v>206</v>
      </c>
      <c r="F233" s="2">
        <v>207</v>
      </c>
      <c r="G233" s="2"/>
    </row>
    <row r="234" spans="1:7" ht="15" customHeight="1">
      <c r="A234" s="3" t="s">
        <v>635</v>
      </c>
      <c r="B234" s="3" t="s">
        <v>13</v>
      </c>
      <c r="C234" s="3">
        <v>33</v>
      </c>
      <c r="D234" s="3" t="s">
        <v>238</v>
      </c>
      <c r="E234" s="3" t="s">
        <v>206</v>
      </c>
      <c r="F234" s="3">
        <v>210</v>
      </c>
      <c r="G234" s="3"/>
    </row>
    <row r="235" spans="1:7" ht="15" customHeight="1">
      <c r="A235" s="2" t="s">
        <v>636</v>
      </c>
      <c r="B235" s="2" t="s">
        <v>15</v>
      </c>
      <c r="C235" s="2">
        <v>34</v>
      </c>
      <c r="D235" s="2" t="s">
        <v>238</v>
      </c>
      <c r="E235" s="2" t="s">
        <v>206</v>
      </c>
      <c r="F235" s="2">
        <v>229</v>
      </c>
      <c r="G235" s="2"/>
    </row>
    <row r="236" spans="1:7" ht="15" customHeight="1">
      <c r="A236" s="3" t="s">
        <v>637</v>
      </c>
      <c r="B236" s="3" t="s">
        <v>17</v>
      </c>
      <c r="C236" s="3">
        <v>34</v>
      </c>
      <c r="D236" s="3" t="s">
        <v>238</v>
      </c>
      <c r="E236" s="3" t="s">
        <v>206</v>
      </c>
      <c r="F236" s="3">
        <v>237</v>
      </c>
      <c r="G236" s="3"/>
    </row>
    <row r="237" spans="1:7" ht="15" customHeight="1">
      <c r="A237" s="2" t="s">
        <v>638</v>
      </c>
      <c r="B237" s="2" t="s">
        <v>19</v>
      </c>
      <c r="C237" s="2">
        <v>34</v>
      </c>
      <c r="D237" s="2" t="s">
        <v>238</v>
      </c>
      <c r="E237" s="2" t="s">
        <v>206</v>
      </c>
      <c r="F237" s="2">
        <v>249</v>
      </c>
      <c r="G237" s="2"/>
    </row>
    <row r="238" spans="1:7" ht="15" customHeight="1">
      <c r="A238" s="3" t="s">
        <v>639</v>
      </c>
      <c r="B238" s="3" t="s">
        <v>21</v>
      </c>
      <c r="C238" s="3">
        <v>34</v>
      </c>
      <c r="D238" s="3" t="s">
        <v>238</v>
      </c>
      <c r="E238" s="3" t="s">
        <v>206</v>
      </c>
      <c r="F238" s="3">
        <v>254</v>
      </c>
      <c r="G238" s="3"/>
    </row>
    <row r="239" spans="1:7" ht="15" customHeight="1">
      <c r="A239" s="2" t="s">
        <v>640</v>
      </c>
      <c r="B239" s="2" t="s">
        <v>23</v>
      </c>
      <c r="C239" s="2">
        <v>34</v>
      </c>
      <c r="D239" s="2" t="s">
        <v>238</v>
      </c>
      <c r="E239" s="2" t="s">
        <v>206</v>
      </c>
      <c r="F239" s="2">
        <v>228</v>
      </c>
      <c r="G239" s="2"/>
    </row>
    <row r="240" spans="1:7" ht="15" customHeight="1">
      <c r="A240" s="3" t="s">
        <v>641</v>
      </c>
      <c r="B240" s="3" t="s">
        <v>9</v>
      </c>
      <c r="C240" s="3">
        <v>34</v>
      </c>
      <c r="D240" s="3" t="s">
        <v>238</v>
      </c>
      <c r="E240" s="3" t="s">
        <v>206</v>
      </c>
      <c r="F240" s="3">
        <v>225</v>
      </c>
      <c r="G240" s="3"/>
    </row>
    <row r="241" spans="1:7" ht="15" customHeight="1">
      <c r="A241" s="2" t="s">
        <v>642</v>
      </c>
      <c r="B241" s="2" t="s">
        <v>13</v>
      </c>
      <c r="C241" s="2">
        <v>34</v>
      </c>
      <c r="D241" s="2" t="s">
        <v>238</v>
      </c>
      <c r="E241" s="2" t="s">
        <v>206</v>
      </c>
      <c r="F241" s="2">
        <v>232</v>
      </c>
      <c r="G241" s="2"/>
    </row>
    <row r="242" spans="1:7" ht="15" customHeight="1">
      <c r="A242" s="3" t="s">
        <v>643</v>
      </c>
      <c r="B242" s="3" t="s">
        <v>15</v>
      </c>
      <c r="C242" s="3">
        <v>35</v>
      </c>
      <c r="D242" s="3" t="s">
        <v>238</v>
      </c>
      <c r="E242" s="3" t="s">
        <v>206</v>
      </c>
      <c r="F242" s="3">
        <v>247</v>
      </c>
      <c r="G242" s="3"/>
    </row>
    <row r="243" spans="1:7" ht="15" customHeight="1">
      <c r="A243" s="2" t="s">
        <v>644</v>
      </c>
      <c r="B243" s="2" t="s">
        <v>17</v>
      </c>
      <c r="C243" s="2">
        <v>35</v>
      </c>
      <c r="D243" s="2" t="s">
        <v>238</v>
      </c>
      <c r="E243" s="2" t="s">
        <v>206</v>
      </c>
      <c r="F243" s="2">
        <v>269</v>
      </c>
      <c r="G243" s="2"/>
    </row>
    <row r="244" spans="1:7" ht="15" customHeight="1">
      <c r="A244" s="3" t="s">
        <v>645</v>
      </c>
      <c r="B244" s="3" t="s">
        <v>19</v>
      </c>
      <c r="C244" s="3">
        <v>35</v>
      </c>
      <c r="D244" s="3" t="s">
        <v>238</v>
      </c>
      <c r="E244" s="3" t="s">
        <v>206</v>
      </c>
      <c r="F244" s="3">
        <v>229</v>
      </c>
      <c r="G244" s="3"/>
    </row>
    <row r="245" spans="1:7" ht="15" customHeight="1">
      <c r="A245" s="2" t="s">
        <v>646</v>
      </c>
      <c r="B245" s="2" t="s">
        <v>21</v>
      </c>
      <c r="C245" s="2">
        <v>35</v>
      </c>
      <c r="D245" s="2" t="s">
        <v>238</v>
      </c>
      <c r="E245" s="2" t="s">
        <v>206</v>
      </c>
      <c r="F245" s="2">
        <v>221</v>
      </c>
      <c r="G245" s="2"/>
    </row>
    <row r="246" spans="1:7" ht="15" customHeight="1">
      <c r="A246" s="3" t="s">
        <v>647</v>
      </c>
      <c r="B246" s="3" t="s">
        <v>23</v>
      </c>
      <c r="C246" s="3">
        <v>35</v>
      </c>
      <c r="D246" s="3" t="s">
        <v>270</v>
      </c>
      <c r="E246" s="3" t="s">
        <v>206</v>
      </c>
      <c r="F246" s="3">
        <v>213</v>
      </c>
      <c r="G246" s="3"/>
    </row>
    <row r="247" spans="1:7" ht="15" customHeight="1">
      <c r="A247" s="2" t="s">
        <v>648</v>
      </c>
      <c r="B247" s="2" t="s">
        <v>9</v>
      </c>
      <c r="C247" s="2">
        <v>35</v>
      </c>
      <c r="D247" s="2" t="s">
        <v>270</v>
      </c>
      <c r="E247" s="2" t="s">
        <v>206</v>
      </c>
      <c r="F247" s="2">
        <v>231</v>
      </c>
      <c r="G247" s="2"/>
    </row>
    <row r="248" spans="1:7" ht="15" customHeight="1">
      <c r="A248" s="3" t="s">
        <v>649</v>
      </c>
      <c r="B248" s="3" t="s">
        <v>13</v>
      </c>
      <c r="C248" s="3">
        <v>35</v>
      </c>
      <c r="D248" s="3" t="s">
        <v>270</v>
      </c>
      <c r="E248" s="3" t="s">
        <v>206</v>
      </c>
      <c r="F248" s="3">
        <v>218</v>
      </c>
      <c r="G248" s="3"/>
    </row>
    <row r="249" spans="1:7" ht="15" customHeight="1">
      <c r="A249" s="2" t="s">
        <v>650</v>
      </c>
      <c r="B249" s="2" t="s">
        <v>15</v>
      </c>
      <c r="C249" s="2">
        <v>36</v>
      </c>
      <c r="D249" s="2" t="s">
        <v>270</v>
      </c>
      <c r="E249" s="2" t="s">
        <v>206</v>
      </c>
      <c r="F249" s="2">
        <v>237</v>
      </c>
      <c r="G249" s="2"/>
    </row>
    <row r="250" spans="1:7" ht="15" customHeight="1">
      <c r="A250" s="3" t="s">
        <v>651</v>
      </c>
      <c r="B250" s="3" t="s">
        <v>17</v>
      </c>
      <c r="C250" s="3">
        <v>36</v>
      </c>
      <c r="D250" s="3" t="s">
        <v>270</v>
      </c>
      <c r="E250" s="3" t="s">
        <v>206</v>
      </c>
      <c r="F250" s="3">
        <v>242</v>
      </c>
      <c r="G250" s="3"/>
    </row>
    <row r="251" spans="1:7" ht="15" customHeight="1">
      <c r="A251" s="2" t="s">
        <v>652</v>
      </c>
      <c r="B251" s="2" t="s">
        <v>19</v>
      </c>
      <c r="C251" s="2">
        <v>36</v>
      </c>
      <c r="D251" s="2" t="s">
        <v>270</v>
      </c>
      <c r="E251" s="2" t="s">
        <v>206</v>
      </c>
      <c r="F251" s="2">
        <v>220</v>
      </c>
      <c r="G251" s="2"/>
    </row>
    <row r="252" spans="1:7" ht="15" customHeight="1">
      <c r="A252" s="3" t="s">
        <v>653</v>
      </c>
      <c r="B252" s="3" t="s">
        <v>21</v>
      </c>
      <c r="C252" s="3">
        <v>36</v>
      </c>
      <c r="D252" s="3" t="s">
        <v>270</v>
      </c>
      <c r="E252" s="3" t="s">
        <v>206</v>
      </c>
      <c r="F252" s="3">
        <v>274</v>
      </c>
      <c r="G252" s="3"/>
    </row>
    <row r="253" spans="1:7" ht="15" customHeight="1">
      <c r="A253" s="2" t="s">
        <v>654</v>
      </c>
      <c r="B253" s="2" t="s">
        <v>23</v>
      </c>
      <c r="C253" s="2">
        <v>36</v>
      </c>
      <c r="D253" s="2" t="s">
        <v>270</v>
      </c>
      <c r="E253" s="2" t="s">
        <v>206</v>
      </c>
      <c r="F253" s="2">
        <v>238</v>
      </c>
      <c r="G253" s="2"/>
    </row>
    <row r="254" spans="1:7" ht="15" customHeight="1">
      <c r="A254" s="3" t="s">
        <v>655</v>
      </c>
      <c r="B254" s="3" t="s">
        <v>9</v>
      </c>
      <c r="C254" s="3">
        <v>36</v>
      </c>
      <c r="D254" s="3" t="s">
        <v>270</v>
      </c>
      <c r="E254" s="3" t="s">
        <v>206</v>
      </c>
      <c r="F254" s="3">
        <v>208</v>
      </c>
      <c r="G254" s="3"/>
    </row>
    <row r="255" spans="1:7" ht="15" customHeight="1">
      <c r="A255" s="2" t="s">
        <v>656</v>
      </c>
      <c r="B255" s="2" t="s">
        <v>13</v>
      </c>
      <c r="C255" s="2">
        <v>36</v>
      </c>
      <c r="D255" s="2" t="s">
        <v>270</v>
      </c>
      <c r="E255" s="2" t="s">
        <v>206</v>
      </c>
      <c r="F255" s="2">
        <v>217</v>
      </c>
      <c r="G255" s="2"/>
    </row>
    <row r="256" spans="1:7" ht="15" customHeight="1">
      <c r="A256" s="3" t="s">
        <v>657</v>
      </c>
      <c r="B256" s="3" t="s">
        <v>15</v>
      </c>
      <c r="C256" s="3">
        <v>37</v>
      </c>
      <c r="D256" s="3" t="s">
        <v>270</v>
      </c>
      <c r="E256" s="3" t="s">
        <v>206</v>
      </c>
      <c r="F256" s="3">
        <v>242</v>
      </c>
      <c r="G256" s="3"/>
    </row>
    <row r="257" spans="1:7" ht="15" customHeight="1">
      <c r="A257" s="2" t="s">
        <v>658</v>
      </c>
      <c r="B257" s="2" t="s">
        <v>17</v>
      </c>
      <c r="C257" s="2">
        <v>37</v>
      </c>
      <c r="D257" s="2" t="s">
        <v>270</v>
      </c>
      <c r="E257" s="2" t="s">
        <v>206</v>
      </c>
      <c r="F257" s="2">
        <v>238</v>
      </c>
      <c r="G257" s="2"/>
    </row>
    <row r="258" spans="1:7" ht="15" customHeight="1">
      <c r="A258" s="3" t="s">
        <v>659</v>
      </c>
      <c r="B258" s="3" t="s">
        <v>19</v>
      </c>
      <c r="C258" s="3">
        <v>37</v>
      </c>
      <c r="D258" s="3" t="s">
        <v>270</v>
      </c>
      <c r="E258" s="3" t="s">
        <v>206</v>
      </c>
      <c r="F258" s="3">
        <v>223</v>
      </c>
      <c r="G258" s="3"/>
    </row>
    <row r="259" spans="1:7" ht="15" customHeight="1">
      <c r="A259" s="2" t="s">
        <v>660</v>
      </c>
      <c r="B259" s="2" t="s">
        <v>21</v>
      </c>
      <c r="C259" s="2">
        <v>37</v>
      </c>
      <c r="D259" s="2" t="s">
        <v>270</v>
      </c>
      <c r="E259" s="2" t="s">
        <v>206</v>
      </c>
      <c r="F259" s="2">
        <v>241</v>
      </c>
      <c r="G259" s="2"/>
    </row>
    <row r="260" spans="1:7" ht="15" customHeight="1">
      <c r="A260" s="3" t="s">
        <v>661</v>
      </c>
      <c r="B260" s="3" t="s">
        <v>23</v>
      </c>
      <c r="C260" s="3">
        <v>37</v>
      </c>
      <c r="D260" s="3" t="s">
        <v>270</v>
      </c>
      <c r="E260" s="3" t="s">
        <v>206</v>
      </c>
      <c r="F260" s="3">
        <v>262</v>
      </c>
      <c r="G260" s="3"/>
    </row>
    <row r="261" spans="1:7" ht="15" customHeight="1">
      <c r="A261" s="2" t="s">
        <v>662</v>
      </c>
      <c r="B261" s="2" t="s">
        <v>9</v>
      </c>
      <c r="C261" s="2">
        <v>37</v>
      </c>
      <c r="D261" s="2" t="s">
        <v>270</v>
      </c>
      <c r="E261" s="2" t="s">
        <v>206</v>
      </c>
      <c r="F261" s="2">
        <v>223</v>
      </c>
      <c r="G261" s="2"/>
    </row>
    <row r="262" spans="1:7" ht="15" customHeight="1">
      <c r="A262" s="3" t="s">
        <v>663</v>
      </c>
      <c r="B262" s="3" t="s">
        <v>13</v>
      </c>
      <c r="C262" s="3">
        <v>37</v>
      </c>
      <c r="D262" s="3" t="s">
        <v>270</v>
      </c>
      <c r="E262" s="3" t="s">
        <v>206</v>
      </c>
      <c r="F262" s="3">
        <v>227</v>
      </c>
      <c r="G262" s="3"/>
    </row>
    <row r="263" spans="1:7" ht="15" customHeight="1">
      <c r="A263" s="2" t="s">
        <v>664</v>
      </c>
      <c r="B263" s="2" t="s">
        <v>15</v>
      </c>
      <c r="C263" s="2">
        <v>38</v>
      </c>
      <c r="D263" s="2" t="s">
        <v>270</v>
      </c>
      <c r="E263" s="2" t="s">
        <v>206</v>
      </c>
      <c r="F263" s="2">
        <v>225</v>
      </c>
      <c r="G263" s="2"/>
    </row>
    <row r="264" spans="1:7" ht="15" customHeight="1">
      <c r="A264" s="3" t="s">
        <v>665</v>
      </c>
      <c r="B264" s="3" t="s">
        <v>17</v>
      </c>
      <c r="C264" s="3">
        <v>38</v>
      </c>
      <c r="D264" s="3" t="s">
        <v>270</v>
      </c>
      <c r="E264" s="3" t="s">
        <v>206</v>
      </c>
      <c r="F264" s="3">
        <v>217</v>
      </c>
      <c r="G264" s="3"/>
    </row>
    <row r="265" spans="1:7" ht="15" customHeight="1">
      <c r="A265" s="2" t="s">
        <v>666</v>
      </c>
      <c r="B265" s="2" t="s">
        <v>19</v>
      </c>
      <c r="C265" s="2">
        <v>38</v>
      </c>
      <c r="D265" s="2" t="s">
        <v>270</v>
      </c>
      <c r="E265" s="2" t="s">
        <v>206</v>
      </c>
      <c r="F265" s="2">
        <v>229</v>
      </c>
      <c r="G265" s="2"/>
    </row>
    <row r="266" spans="1:7" ht="15" customHeight="1">
      <c r="A266" s="3" t="s">
        <v>667</v>
      </c>
      <c r="B266" s="3" t="s">
        <v>21</v>
      </c>
      <c r="C266" s="3">
        <v>38</v>
      </c>
      <c r="D266" s="3" t="s">
        <v>270</v>
      </c>
      <c r="E266" s="3" t="s">
        <v>206</v>
      </c>
      <c r="F266" s="3">
        <v>232</v>
      </c>
      <c r="G266" s="3"/>
    </row>
    <row r="267" spans="1:7" ht="15" customHeight="1">
      <c r="A267" s="2" t="s">
        <v>668</v>
      </c>
      <c r="B267" s="2" t="s">
        <v>23</v>
      </c>
      <c r="C267" s="2">
        <v>38</v>
      </c>
      <c r="D267" s="2" t="s">
        <v>270</v>
      </c>
      <c r="E267" s="2" t="s">
        <v>206</v>
      </c>
      <c r="F267" s="2">
        <v>247</v>
      </c>
      <c r="G267" s="2"/>
    </row>
    <row r="268" spans="1:7" ht="15" customHeight="1">
      <c r="A268" s="3" t="s">
        <v>669</v>
      </c>
      <c r="B268" s="3" t="s">
        <v>9</v>
      </c>
      <c r="C268" s="3">
        <v>38</v>
      </c>
      <c r="D268" s="3" t="s">
        <v>270</v>
      </c>
      <c r="E268" s="3" t="s">
        <v>206</v>
      </c>
      <c r="F268" s="3">
        <v>175</v>
      </c>
      <c r="G268" s="3"/>
    </row>
    <row r="269" spans="1:7" ht="15" customHeight="1">
      <c r="A269" s="2" t="s">
        <v>670</v>
      </c>
      <c r="B269" s="2" t="s">
        <v>13</v>
      </c>
      <c r="C269" s="2">
        <v>38</v>
      </c>
      <c r="D269" s="2" t="s">
        <v>270</v>
      </c>
      <c r="E269" s="2" t="s">
        <v>206</v>
      </c>
      <c r="F269" s="2">
        <v>223</v>
      </c>
      <c r="G269" s="2"/>
    </row>
    <row r="270" spans="1:7" ht="15" customHeight="1">
      <c r="A270" s="3" t="s">
        <v>671</v>
      </c>
      <c r="B270" s="3" t="s">
        <v>15</v>
      </c>
      <c r="C270" s="3">
        <v>39</v>
      </c>
      <c r="D270" s="3" t="s">
        <v>270</v>
      </c>
      <c r="E270" s="3" t="s">
        <v>206</v>
      </c>
      <c r="F270" s="3">
        <v>227</v>
      </c>
      <c r="G270" s="3"/>
    </row>
    <row r="271" spans="1:7" ht="15" customHeight="1">
      <c r="A271" s="2" t="s">
        <v>672</v>
      </c>
      <c r="B271" s="2" t="s">
        <v>17</v>
      </c>
      <c r="C271" s="2">
        <v>39</v>
      </c>
      <c r="D271" s="2" t="s">
        <v>270</v>
      </c>
      <c r="E271" s="2" t="s">
        <v>206</v>
      </c>
      <c r="F271" s="2">
        <v>222</v>
      </c>
      <c r="G271" s="2"/>
    </row>
    <row r="272" spans="1:7" ht="15" customHeight="1">
      <c r="A272" s="3" t="s">
        <v>673</v>
      </c>
      <c r="B272" s="3" t="s">
        <v>19</v>
      </c>
      <c r="C272" s="3">
        <v>39</v>
      </c>
      <c r="D272" s="3" t="s">
        <v>270</v>
      </c>
      <c r="E272" s="3" t="s">
        <v>206</v>
      </c>
      <c r="F272" s="3">
        <v>213</v>
      </c>
      <c r="G272" s="3"/>
    </row>
    <row r="273" spans="1:7" ht="15" customHeight="1">
      <c r="A273" s="2" t="s">
        <v>674</v>
      </c>
      <c r="B273" s="2" t="s">
        <v>21</v>
      </c>
      <c r="C273" s="2">
        <v>39</v>
      </c>
      <c r="D273" s="2" t="s">
        <v>270</v>
      </c>
      <c r="E273" s="2" t="s">
        <v>206</v>
      </c>
      <c r="F273" s="2">
        <v>179</v>
      </c>
      <c r="G273" s="2"/>
    </row>
    <row r="274" spans="1:7" ht="15" customHeight="1">
      <c r="A274" s="3" t="s">
        <v>675</v>
      </c>
      <c r="B274" s="3" t="s">
        <v>23</v>
      </c>
      <c r="C274" s="3">
        <v>39</v>
      </c>
      <c r="D274" s="3" t="s">
        <v>270</v>
      </c>
      <c r="E274" s="3" t="s">
        <v>206</v>
      </c>
      <c r="F274" s="3">
        <v>217</v>
      </c>
      <c r="G274" s="3"/>
    </row>
    <row r="275" spans="1:7" ht="15" customHeight="1">
      <c r="A275" s="2" t="s">
        <v>676</v>
      </c>
      <c r="B275" s="2" t="s">
        <v>9</v>
      </c>
      <c r="C275" s="2">
        <v>39</v>
      </c>
      <c r="D275" s="2" t="s">
        <v>270</v>
      </c>
      <c r="E275" s="2" t="s">
        <v>206</v>
      </c>
      <c r="F275" s="2">
        <v>176</v>
      </c>
      <c r="G275" s="2"/>
    </row>
    <row r="276" spans="1:7" ht="15" customHeight="1">
      <c r="A276" s="3" t="s">
        <v>677</v>
      </c>
      <c r="B276" s="3" t="s">
        <v>13</v>
      </c>
      <c r="C276" s="3">
        <v>39</v>
      </c>
      <c r="D276" s="3" t="s">
        <v>301</v>
      </c>
      <c r="E276" s="3" t="s">
        <v>302</v>
      </c>
      <c r="F276" s="3">
        <v>156</v>
      </c>
      <c r="G276" s="3"/>
    </row>
    <row r="277" spans="1:7" ht="15" customHeight="1">
      <c r="A277" s="2" t="s">
        <v>678</v>
      </c>
      <c r="B277" s="2" t="s">
        <v>15</v>
      </c>
      <c r="C277" s="2">
        <v>40</v>
      </c>
      <c r="D277" s="2" t="s">
        <v>301</v>
      </c>
      <c r="E277" s="2" t="s">
        <v>302</v>
      </c>
      <c r="F277" s="2">
        <v>186</v>
      </c>
      <c r="G277" s="2"/>
    </row>
    <row r="278" spans="1:7" ht="15" customHeight="1">
      <c r="A278" s="3" t="s">
        <v>679</v>
      </c>
      <c r="B278" s="3" t="s">
        <v>17</v>
      </c>
      <c r="C278" s="3">
        <v>40</v>
      </c>
      <c r="D278" s="3" t="s">
        <v>301</v>
      </c>
      <c r="E278" s="3" t="s">
        <v>302</v>
      </c>
      <c r="F278" s="3">
        <v>201</v>
      </c>
      <c r="G278" s="3"/>
    </row>
    <row r="279" spans="1:7" ht="15" customHeight="1">
      <c r="A279" s="2" t="s">
        <v>680</v>
      </c>
      <c r="B279" s="2" t="s">
        <v>19</v>
      </c>
      <c r="C279" s="2">
        <v>40</v>
      </c>
      <c r="D279" s="2" t="s">
        <v>301</v>
      </c>
      <c r="E279" s="2" t="s">
        <v>302</v>
      </c>
      <c r="F279" s="2">
        <v>231</v>
      </c>
      <c r="G279" s="2"/>
    </row>
    <row r="280" spans="1:7" ht="15" customHeight="1">
      <c r="A280" s="3" t="s">
        <v>681</v>
      </c>
      <c r="B280" s="3" t="s">
        <v>21</v>
      </c>
      <c r="C280" s="3">
        <v>40</v>
      </c>
      <c r="D280" s="3" t="s">
        <v>301</v>
      </c>
      <c r="E280" s="3" t="s">
        <v>302</v>
      </c>
      <c r="F280" s="3">
        <v>203</v>
      </c>
      <c r="G280" s="3"/>
    </row>
    <row r="281" spans="1:7" ht="15" customHeight="1">
      <c r="A281" s="2" t="s">
        <v>682</v>
      </c>
      <c r="B281" s="2" t="s">
        <v>23</v>
      </c>
      <c r="C281" s="2">
        <v>40</v>
      </c>
      <c r="D281" s="2" t="s">
        <v>301</v>
      </c>
      <c r="E281" s="2" t="s">
        <v>302</v>
      </c>
      <c r="F281" s="2">
        <v>184</v>
      </c>
      <c r="G281" s="2"/>
    </row>
    <row r="282" spans="1:7" ht="15" customHeight="1">
      <c r="A282" s="3" t="s">
        <v>683</v>
      </c>
      <c r="B282" s="3" t="s">
        <v>9</v>
      </c>
      <c r="C282" s="3">
        <v>40</v>
      </c>
      <c r="D282" s="3" t="s">
        <v>301</v>
      </c>
      <c r="E282" s="3" t="s">
        <v>302</v>
      </c>
      <c r="F282" s="3">
        <v>174</v>
      </c>
      <c r="G282" s="3"/>
    </row>
    <row r="283" spans="1:7" ht="15" customHeight="1">
      <c r="A283" s="2" t="s">
        <v>684</v>
      </c>
      <c r="B283" s="2" t="s">
        <v>13</v>
      </c>
      <c r="C283" s="2">
        <v>40</v>
      </c>
      <c r="D283" s="2" t="s">
        <v>301</v>
      </c>
      <c r="E283" s="2" t="s">
        <v>302</v>
      </c>
      <c r="F283" s="2">
        <v>174</v>
      </c>
      <c r="G283" s="2"/>
    </row>
    <row r="284" spans="1:7" ht="15" customHeight="1">
      <c r="A284" s="3" t="s">
        <v>685</v>
      </c>
      <c r="B284" s="3" t="s">
        <v>15</v>
      </c>
      <c r="C284" s="3">
        <v>41</v>
      </c>
      <c r="D284" s="3" t="s">
        <v>301</v>
      </c>
      <c r="E284" s="3" t="s">
        <v>302</v>
      </c>
      <c r="F284" s="3">
        <v>168</v>
      </c>
      <c r="G284" s="3"/>
    </row>
    <row r="285" spans="1:7" ht="15" customHeight="1">
      <c r="A285" s="2" t="s">
        <v>686</v>
      </c>
      <c r="B285" s="2" t="s">
        <v>17</v>
      </c>
      <c r="C285" s="2">
        <v>41</v>
      </c>
      <c r="D285" s="2" t="s">
        <v>301</v>
      </c>
      <c r="E285" s="2" t="s">
        <v>302</v>
      </c>
      <c r="F285" s="2">
        <v>208</v>
      </c>
      <c r="G285" s="2"/>
    </row>
    <row r="286" spans="1:7" ht="15" customHeight="1">
      <c r="A286" s="3" t="s">
        <v>687</v>
      </c>
      <c r="B286" s="3" t="s">
        <v>19</v>
      </c>
      <c r="C286" s="3">
        <v>41</v>
      </c>
      <c r="D286" s="3" t="s">
        <v>301</v>
      </c>
      <c r="E286" s="3" t="s">
        <v>302</v>
      </c>
      <c r="F286" s="3">
        <v>205</v>
      </c>
      <c r="G286" s="3"/>
    </row>
    <row r="287" spans="1:7" ht="15" customHeight="1">
      <c r="A287" s="2" t="s">
        <v>688</v>
      </c>
      <c r="B287" s="2" t="s">
        <v>21</v>
      </c>
      <c r="C287" s="2">
        <v>41</v>
      </c>
      <c r="D287" s="2" t="s">
        <v>301</v>
      </c>
      <c r="E287" s="2" t="s">
        <v>302</v>
      </c>
      <c r="F287" s="2">
        <v>220</v>
      </c>
      <c r="G287" s="2"/>
    </row>
    <row r="288" spans="1:7" ht="15" customHeight="1">
      <c r="A288" s="3" t="s">
        <v>689</v>
      </c>
      <c r="B288" s="3" t="s">
        <v>23</v>
      </c>
      <c r="C288" s="3">
        <v>41</v>
      </c>
      <c r="D288" s="3" t="s">
        <v>301</v>
      </c>
      <c r="E288" s="3" t="s">
        <v>302</v>
      </c>
      <c r="F288" s="3">
        <v>237</v>
      </c>
      <c r="G288" s="3"/>
    </row>
    <row r="289" spans="1:7" ht="15" customHeight="1">
      <c r="A289" s="2" t="s">
        <v>690</v>
      </c>
      <c r="B289" s="2" t="s">
        <v>9</v>
      </c>
      <c r="C289" s="2">
        <v>41</v>
      </c>
      <c r="D289" s="2" t="s">
        <v>301</v>
      </c>
      <c r="E289" s="2" t="s">
        <v>302</v>
      </c>
      <c r="F289" s="2">
        <v>197</v>
      </c>
      <c r="G289" s="2"/>
    </row>
    <row r="290" spans="1:7" ht="15" customHeight="1">
      <c r="A290" s="3" t="s">
        <v>691</v>
      </c>
      <c r="B290" s="3" t="s">
        <v>13</v>
      </c>
      <c r="C290" s="3">
        <v>41</v>
      </c>
      <c r="D290" s="3" t="s">
        <v>301</v>
      </c>
      <c r="E290" s="3" t="s">
        <v>302</v>
      </c>
      <c r="F290" s="3">
        <v>177</v>
      </c>
      <c r="G290" s="3"/>
    </row>
    <row r="291" spans="1:7" ht="15" customHeight="1">
      <c r="A291" s="2" t="s">
        <v>692</v>
      </c>
      <c r="B291" s="2" t="s">
        <v>15</v>
      </c>
      <c r="C291" s="2">
        <v>42</v>
      </c>
      <c r="D291" s="2" t="s">
        <v>301</v>
      </c>
      <c r="E291" s="2" t="s">
        <v>302</v>
      </c>
      <c r="F291" s="2">
        <v>195</v>
      </c>
      <c r="G291" s="2"/>
    </row>
    <row r="292" spans="1:7" ht="15" customHeight="1">
      <c r="A292" s="3" t="s">
        <v>693</v>
      </c>
      <c r="B292" s="3" t="s">
        <v>17</v>
      </c>
      <c r="C292" s="3">
        <v>42</v>
      </c>
      <c r="D292" s="3" t="s">
        <v>301</v>
      </c>
      <c r="E292" s="3" t="s">
        <v>302</v>
      </c>
      <c r="F292" s="3">
        <v>250</v>
      </c>
      <c r="G292" s="3"/>
    </row>
    <row r="293" spans="1:7" ht="15" customHeight="1">
      <c r="A293" s="2" t="s">
        <v>694</v>
      </c>
      <c r="B293" s="2" t="s">
        <v>19</v>
      </c>
      <c r="C293" s="2">
        <v>42</v>
      </c>
      <c r="D293" s="2" t="s">
        <v>301</v>
      </c>
      <c r="E293" s="2" t="s">
        <v>302</v>
      </c>
      <c r="F293" s="2">
        <v>213</v>
      </c>
      <c r="G293" s="2"/>
    </row>
    <row r="294" spans="1:7" ht="15" customHeight="1">
      <c r="A294" s="3" t="s">
        <v>695</v>
      </c>
      <c r="B294" s="3" t="s">
        <v>21</v>
      </c>
      <c r="C294" s="3">
        <v>42</v>
      </c>
      <c r="D294" s="3" t="s">
        <v>301</v>
      </c>
      <c r="E294" s="3" t="s">
        <v>302</v>
      </c>
      <c r="F294" s="3">
        <v>213</v>
      </c>
      <c r="G294" s="3"/>
    </row>
    <row r="295" spans="1:7" ht="15" customHeight="1">
      <c r="A295" s="2" t="s">
        <v>696</v>
      </c>
      <c r="B295" s="2" t="s">
        <v>23</v>
      </c>
      <c r="C295" s="2">
        <v>42</v>
      </c>
      <c r="D295" s="2" t="s">
        <v>301</v>
      </c>
      <c r="E295" s="2" t="s">
        <v>302</v>
      </c>
      <c r="F295" s="2">
        <v>213</v>
      </c>
      <c r="G295" s="2"/>
    </row>
    <row r="296" spans="1:7" ht="15" customHeight="1">
      <c r="A296" s="3" t="s">
        <v>697</v>
      </c>
      <c r="B296" s="3" t="s">
        <v>9</v>
      </c>
      <c r="C296" s="3">
        <v>42</v>
      </c>
      <c r="D296" s="3" t="s">
        <v>301</v>
      </c>
      <c r="E296" s="3" t="s">
        <v>302</v>
      </c>
      <c r="F296" s="3">
        <v>186</v>
      </c>
      <c r="G296" s="3"/>
    </row>
    <row r="297" spans="1:7" ht="15" customHeight="1">
      <c r="A297" s="2" t="s">
        <v>698</v>
      </c>
      <c r="B297" s="2" t="s">
        <v>13</v>
      </c>
      <c r="C297" s="2">
        <v>42</v>
      </c>
      <c r="D297" s="2" t="s">
        <v>301</v>
      </c>
      <c r="E297" s="2" t="s">
        <v>302</v>
      </c>
      <c r="F297" s="2">
        <v>182</v>
      </c>
      <c r="G297" s="2"/>
    </row>
    <row r="298" spans="1:7" ht="15" customHeight="1">
      <c r="A298" s="3" t="s">
        <v>699</v>
      </c>
      <c r="B298" s="3" t="s">
        <v>15</v>
      </c>
      <c r="C298" s="3">
        <v>43</v>
      </c>
      <c r="D298" s="3" t="s">
        <v>301</v>
      </c>
      <c r="E298" s="3" t="s">
        <v>302</v>
      </c>
      <c r="F298" s="3">
        <v>206</v>
      </c>
      <c r="G298" s="3"/>
    </row>
    <row r="299" spans="1:7" ht="15" customHeight="1">
      <c r="A299" s="2" t="s">
        <v>700</v>
      </c>
      <c r="B299" s="2" t="s">
        <v>17</v>
      </c>
      <c r="C299" s="2">
        <v>43</v>
      </c>
      <c r="D299" s="2" t="s">
        <v>301</v>
      </c>
      <c r="E299" s="2" t="s">
        <v>302</v>
      </c>
      <c r="F299" s="2">
        <v>207</v>
      </c>
      <c r="G299" s="2"/>
    </row>
    <row r="300" spans="1:7" ht="15" customHeight="1">
      <c r="A300" s="3" t="s">
        <v>701</v>
      </c>
      <c r="B300" s="3" t="s">
        <v>19</v>
      </c>
      <c r="C300" s="3">
        <v>43</v>
      </c>
      <c r="D300" s="3" t="s">
        <v>301</v>
      </c>
      <c r="E300" s="3" t="s">
        <v>302</v>
      </c>
      <c r="F300" s="3">
        <v>215</v>
      </c>
      <c r="G300" s="3"/>
    </row>
    <row r="301" spans="1:7" ht="15" customHeight="1">
      <c r="A301" s="2" t="s">
        <v>702</v>
      </c>
      <c r="B301" s="2" t="s">
        <v>21</v>
      </c>
      <c r="C301" s="2">
        <v>43</v>
      </c>
      <c r="D301" s="2" t="s">
        <v>301</v>
      </c>
      <c r="E301" s="2" t="s">
        <v>302</v>
      </c>
      <c r="F301" s="2">
        <v>208</v>
      </c>
      <c r="G301" s="2"/>
    </row>
    <row r="302" spans="1:7" ht="15" customHeight="1">
      <c r="A302" s="3" t="s">
        <v>703</v>
      </c>
      <c r="B302" s="3" t="s">
        <v>23</v>
      </c>
      <c r="C302" s="3">
        <v>43</v>
      </c>
      <c r="D302" s="3" t="s">
        <v>301</v>
      </c>
      <c r="E302" s="3" t="s">
        <v>302</v>
      </c>
      <c r="F302" s="3">
        <v>206</v>
      </c>
      <c r="G302" s="3"/>
    </row>
    <row r="303" spans="1:7" ht="15" customHeight="1">
      <c r="A303" s="2" t="s">
        <v>704</v>
      </c>
      <c r="B303" s="2" t="s">
        <v>9</v>
      </c>
      <c r="C303" s="2">
        <v>43</v>
      </c>
      <c r="D303" s="2" t="s">
        <v>301</v>
      </c>
      <c r="E303" s="2" t="s">
        <v>302</v>
      </c>
      <c r="F303" s="2">
        <v>189</v>
      </c>
      <c r="G303" s="2"/>
    </row>
    <row r="304" spans="1:7" ht="15" customHeight="1">
      <c r="A304" s="3" t="s">
        <v>705</v>
      </c>
      <c r="B304" s="3" t="s">
        <v>13</v>
      </c>
      <c r="C304" s="3">
        <v>43</v>
      </c>
      <c r="D304" s="3" t="s">
        <v>301</v>
      </c>
      <c r="E304" s="3" t="s">
        <v>302</v>
      </c>
      <c r="F304" s="3">
        <v>184</v>
      </c>
      <c r="G304" s="3"/>
    </row>
    <row r="305" spans="1:7" ht="15" customHeight="1">
      <c r="A305" s="2" t="s">
        <v>706</v>
      </c>
      <c r="B305" s="2" t="s">
        <v>15</v>
      </c>
      <c r="C305" s="2">
        <v>44</v>
      </c>
      <c r="D305" s="2" t="s">
        <v>301</v>
      </c>
      <c r="E305" s="2" t="s">
        <v>302</v>
      </c>
      <c r="F305" s="2">
        <v>241</v>
      </c>
      <c r="G305" s="2"/>
    </row>
    <row r="306" spans="1:7" ht="15" customHeight="1">
      <c r="A306" s="3" t="s">
        <v>707</v>
      </c>
      <c r="B306" s="3" t="s">
        <v>17</v>
      </c>
      <c r="C306" s="3">
        <v>44</v>
      </c>
      <c r="D306" s="3" t="s">
        <v>301</v>
      </c>
      <c r="E306" s="3" t="s">
        <v>302</v>
      </c>
      <c r="F306" s="3">
        <v>179</v>
      </c>
      <c r="G306" s="3"/>
    </row>
    <row r="307" spans="1:7" ht="15" customHeight="1">
      <c r="A307" s="2" t="s">
        <v>708</v>
      </c>
      <c r="B307" s="2" t="s">
        <v>19</v>
      </c>
      <c r="C307" s="2">
        <v>44</v>
      </c>
      <c r="D307" s="2" t="s">
        <v>334</v>
      </c>
      <c r="E307" s="2" t="s">
        <v>302</v>
      </c>
      <c r="F307" s="2">
        <v>236</v>
      </c>
      <c r="G307" s="2"/>
    </row>
    <row r="308" spans="1:7" ht="15" customHeight="1">
      <c r="A308" s="3" t="s">
        <v>709</v>
      </c>
      <c r="B308" s="3" t="s">
        <v>21</v>
      </c>
      <c r="C308" s="3">
        <v>44</v>
      </c>
      <c r="D308" s="3" t="s">
        <v>334</v>
      </c>
      <c r="E308" s="3" t="s">
        <v>302</v>
      </c>
      <c r="F308" s="3">
        <v>239</v>
      </c>
      <c r="G308" s="3"/>
    </row>
    <row r="309" spans="1:7" ht="15" customHeight="1">
      <c r="A309" s="2" t="s">
        <v>710</v>
      </c>
      <c r="B309" s="2" t="s">
        <v>23</v>
      </c>
      <c r="C309" s="2">
        <v>44</v>
      </c>
      <c r="D309" s="2" t="s">
        <v>334</v>
      </c>
      <c r="E309" s="2" t="s">
        <v>302</v>
      </c>
      <c r="F309" s="2">
        <v>189</v>
      </c>
      <c r="G309" s="2"/>
    </row>
    <row r="310" spans="1:7" ht="15" customHeight="1">
      <c r="A310" s="3" t="s">
        <v>711</v>
      </c>
      <c r="B310" s="3" t="s">
        <v>9</v>
      </c>
      <c r="C310" s="3">
        <v>44</v>
      </c>
      <c r="D310" s="3" t="s">
        <v>334</v>
      </c>
      <c r="E310" s="3" t="s">
        <v>302</v>
      </c>
      <c r="F310" s="3">
        <v>186</v>
      </c>
      <c r="G310" s="3"/>
    </row>
    <row r="311" spans="1:7" ht="15" customHeight="1">
      <c r="A311" s="2" t="s">
        <v>712</v>
      </c>
      <c r="B311" s="2" t="s">
        <v>13</v>
      </c>
      <c r="C311" s="2">
        <v>44</v>
      </c>
      <c r="D311" s="2" t="s">
        <v>334</v>
      </c>
      <c r="E311" s="2" t="s">
        <v>302</v>
      </c>
      <c r="F311" s="2">
        <v>186</v>
      </c>
      <c r="G311" s="2"/>
    </row>
    <row r="312" spans="1:7" ht="15" customHeight="1">
      <c r="A312" s="3" t="s">
        <v>713</v>
      </c>
      <c r="B312" s="3" t="s">
        <v>15</v>
      </c>
      <c r="C312" s="3">
        <v>45</v>
      </c>
      <c r="D312" s="3" t="s">
        <v>334</v>
      </c>
      <c r="E312" s="3" t="s">
        <v>302</v>
      </c>
      <c r="F312" s="3">
        <v>201</v>
      </c>
      <c r="G312" s="3"/>
    </row>
    <row r="313" spans="1:7" ht="15" customHeight="1">
      <c r="A313" s="2" t="s">
        <v>714</v>
      </c>
      <c r="B313" s="2" t="s">
        <v>17</v>
      </c>
      <c r="C313" s="2">
        <v>45</v>
      </c>
      <c r="D313" s="2" t="s">
        <v>334</v>
      </c>
      <c r="E313" s="2" t="s">
        <v>302</v>
      </c>
      <c r="F313" s="2">
        <v>211</v>
      </c>
      <c r="G313" s="2"/>
    </row>
    <row r="314" spans="1:7" ht="15" customHeight="1">
      <c r="A314" s="3" t="s">
        <v>715</v>
      </c>
      <c r="B314" s="3" t="s">
        <v>19</v>
      </c>
      <c r="C314" s="3">
        <v>45</v>
      </c>
      <c r="D314" s="3" t="s">
        <v>334</v>
      </c>
      <c r="E314" s="3" t="s">
        <v>302</v>
      </c>
      <c r="F314" s="3">
        <v>207</v>
      </c>
      <c r="G314" s="3"/>
    </row>
    <row r="315" spans="1:7" ht="15" customHeight="1">
      <c r="A315" s="2" t="s">
        <v>716</v>
      </c>
      <c r="B315" s="2" t="s">
        <v>21</v>
      </c>
      <c r="C315" s="2">
        <v>45</v>
      </c>
      <c r="D315" s="2" t="s">
        <v>334</v>
      </c>
      <c r="E315" s="2" t="s">
        <v>302</v>
      </c>
      <c r="F315" s="2">
        <v>250</v>
      </c>
      <c r="G315" s="2"/>
    </row>
    <row r="316" spans="1:7" ht="15" customHeight="1">
      <c r="A316" s="3" t="s">
        <v>717</v>
      </c>
      <c r="B316" s="3" t="s">
        <v>23</v>
      </c>
      <c r="C316" s="3">
        <v>45</v>
      </c>
      <c r="D316" s="3" t="s">
        <v>334</v>
      </c>
      <c r="E316" s="3" t="s">
        <v>302</v>
      </c>
      <c r="F316" s="3">
        <v>239</v>
      </c>
      <c r="G316" s="3"/>
    </row>
    <row r="317" spans="1:7" ht="15" customHeight="1">
      <c r="A317" s="2" t="s">
        <v>718</v>
      </c>
      <c r="B317" s="2" t="s">
        <v>9</v>
      </c>
      <c r="C317" s="2">
        <v>45</v>
      </c>
      <c r="D317" s="2" t="s">
        <v>334</v>
      </c>
      <c r="E317" s="2" t="s">
        <v>302</v>
      </c>
      <c r="F317" s="2">
        <v>214</v>
      </c>
      <c r="G317" s="2"/>
    </row>
    <row r="318" spans="1:7" ht="15" customHeight="1">
      <c r="A318" s="3" t="s">
        <v>719</v>
      </c>
      <c r="B318" s="3" t="s">
        <v>13</v>
      </c>
      <c r="C318" s="3">
        <v>45</v>
      </c>
      <c r="D318" s="3" t="s">
        <v>334</v>
      </c>
      <c r="E318" s="3" t="s">
        <v>302</v>
      </c>
      <c r="F318" s="3">
        <v>206</v>
      </c>
      <c r="G318" s="3"/>
    </row>
    <row r="319" spans="1:7" ht="15" customHeight="1">
      <c r="A319" s="2" t="s">
        <v>720</v>
      </c>
      <c r="B319" s="2" t="s">
        <v>15</v>
      </c>
      <c r="C319" s="2">
        <v>46</v>
      </c>
      <c r="D319" s="2" t="s">
        <v>334</v>
      </c>
      <c r="E319" s="2" t="s">
        <v>302</v>
      </c>
      <c r="F319" s="2">
        <v>209</v>
      </c>
      <c r="G319" s="2"/>
    </row>
    <row r="320" spans="1:7" ht="15" customHeight="1">
      <c r="A320" s="3" t="s">
        <v>721</v>
      </c>
      <c r="B320" s="3" t="s">
        <v>17</v>
      </c>
      <c r="C320" s="3">
        <v>46</v>
      </c>
      <c r="D320" s="3" t="s">
        <v>334</v>
      </c>
      <c r="E320" s="3" t="s">
        <v>302</v>
      </c>
      <c r="F320" s="3">
        <v>219</v>
      </c>
      <c r="G320" s="3"/>
    </row>
    <row r="321" spans="1:7" ht="15" customHeight="1">
      <c r="A321" s="2" t="s">
        <v>722</v>
      </c>
      <c r="B321" s="2" t="s">
        <v>19</v>
      </c>
      <c r="C321" s="2">
        <v>46</v>
      </c>
      <c r="D321" s="2" t="s">
        <v>334</v>
      </c>
      <c r="E321" s="2" t="s">
        <v>302</v>
      </c>
      <c r="F321" s="2">
        <v>235</v>
      </c>
      <c r="G321" s="2"/>
    </row>
    <row r="322" spans="1:7" ht="15" customHeight="1">
      <c r="A322" s="3" t="s">
        <v>723</v>
      </c>
      <c r="B322" s="3" t="s">
        <v>21</v>
      </c>
      <c r="C322" s="3">
        <v>46</v>
      </c>
      <c r="D322" s="3" t="s">
        <v>334</v>
      </c>
      <c r="E322" s="3" t="s">
        <v>302</v>
      </c>
      <c r="F322" s="3">
        <v>210</v>
      </c>
      <c r="G322" s="3"/>
    </row>
    <row r="323" spans="1:7" ht="15" customHeight="1">
      <c r="A323" s="2" t="s">
        <v>724</v>
      </c>
      <c r="B323" s="2" t="s">
        <v>23</v>
      </c>
      <c r="C323" s="2">
        <v>46</v>
      </c>
      <c r="D323" s="2" t="s">
        <v>334</v>
      </c>
      <c r="E323" s="2" t="s">
        <v>302</v>
      </c>
      <c r="F323" s="2">
        <v>239</v>
      </c>
      <c r="G323" s="2"/>
    </row>
    <row r="324" spans="1:7" ht="15" customHeight="1">
      <c r="A324" s="3" t="s">
        <v>725</v>
      </c>
      <c r="B324" s="3" t="s">
        <v>9</v>
      </c>
      <c r="C324" s="3">
        <v>46</v>
      </c>
      <c r="D324" s="3" t="s">
        <v>334</v>
      </c>
      <c r="E324" s="3" t="s">
        <v>302</v>
      </c>
      <c r="F324" s="3">
        <v>196</v>
      </c>
      <c r="G324" s="3"/>
    </row>
    <row r="325" spans="1:7" ht="15" customHeight="1">
      <c r="A325" s="2" t="s">
        <v>726</v>
      </c>
      <c r="B325" s="2" t="s">
        <v>13</v>
      </c>
      <c r="C325" s="2">
        <v>46</v>
      </c>
      <c r="D325" s="2" t="s">
        <v>334</v>
      </c>
      <c r="E325" s="2" t="s">
        <v>302</v>
      </c>
      <c r="F325" s="2">
        <v>194</v>
      </c>
      <c r="G325" s="2"/>
    </row>
    <row r="326" spans="1:7" ht="15" customHeight="1">
      <c r="A326" s="3" t="s">
        <v>727</v>
      </c>
      <c r="B326" s="3" t="s">
        <v>15</v>
      </c>
      <c r="C326" s="3">
        <v>47</v>
      </c>
      <c r="D326" s="3" t="s">
        <v>334</v>
      </c>
      <c r="E326" s="3" t="s">
        <v>302</v>
      </c>
      <c r="F326" s="3">
        <v>241</v>
      </c>
      <c r="G326" s="3"/>
    </row>
    <row r="327" spans="1:7" ht="15" customHeight="1">
      <c r="A327" s="2" t="s">
        <v>728</v>
      </c>
      <c r="B327" s="2" t="s">
        <v>17</v>
      </c>
      <c r="C327" s="2">
        <v>47</v>
      </c>
      <c r="D327" s="2" t="s">
        <v>334</v>
      </c>
      <c r="E327" s="2" t="s">
        <v>302</v>
      </c>
      <c r="F327" s="2">
        <v>238</v>
      </c>
      <c r="G327" s="2"/>
    </row>
    <row r="328" spans="1:7" ht="15" customHeight="1">
      <c r="A328" s="3" t="s">
        <v>729</v>
      </c>
      <c r="B328" s="3" t="s">
        <v>19</v>
      </c>
      <c r="C328" s="3">
        <v>47</v>
      </c>
      <c r="D328" s="3" t="s">
        <v>334</v>
      </c>
      <c r="E328" s="3" t="s">
        <v>302</v>
      </c>
      <c r="F328" s="3">
        <v>226</v>
      </c>
      <c r="G328" s="3"/>
    </row>
    <row r="329" spans="1:7" ht="15" customHeight="1">
      <c r="A329" s="2" t="s">
        <v>730</v>
      </c>
      <c r="B329" s="2" t="s">
        <v>21</v>
      </c>
      <c r="C329" s="2">
        <v>47</v>
      </c>
      <c r="D329" s="2" t="s">
        <v>334</v>
      </c>
      <c r="E329" s="2" t="s">
        <v>302</v>
      </c>
      <c r="F329" s="2">
        <v>250</v>
      </c>
      <c r="G329" s="2"/>
    </row>
    <row r="330" spans="1:7" ht="15" customHeight="1">
      <c r="A330" s="3" t="s">
        <v>731</v>
      </c>
      <c r="B330" s="3" t="s">
        <v>23</v>
      </c>
      <c r="C330" s="3">
        <v>47</v>
      </c>
      <c r="D330" s="3" t="s">
        <v>334</v>
      </c>
      <c r="E330" s="3" t="s">
        <v>302</v>
      </c>
      <c r="F330" s="3">
        <v>217</v>
      </c>
      <c r="G330" s="3"/>
    </row>
    <row r="331" spans="1:7" ht="15" customHeight="1">
      <c r="A331" s="2" t="s">
        <v>732</v>
      </c>
      <c r="B331" s="2" t="s">
        <v>9</v>
      </c>
      <c r="C331" s="2">
        <v>47</v>
      </c>
      <c r="D331" s="2" t="s">
        <v>334</v>
      </c>
      <c r="E331" s="2" t="s">
        <v>302</v>
      </c>
      <c r="F331" s="2">
        <v>213</v>
      </c>
      <c r="G331" s="2"/>
    </row>
    <row r="332" spans="1:7" ht="15" customHeight="1">
      <c r="A332" s="3" t="s">
        <v>733</v>
      </c>
      <c r="B332" s="3" t="s">
        <v>13</v>
      </c>
      <c r="C332" s="3">
        <v>47</v>
      </c>
      <c r="D332" s="3" t="s">
        <v>334</v>
      </c>
      <c r="E332" s="3" t="s">
        <v>302</v>
      </c>
      <c r="F332" s="3">
        <v>213</v>
      </c>
      <c r="G332" s="3"/>
    </row>
    <row r="333" spans="1:7" ht="15" customHeight="1">
      <c r="A333" s="2" t="s">
        <v>734</v>
      </c>
      <c r="B333" s="2" t="s">
        <v>15</v>
      </c>
      <c r="C333" s="2">
        <v>48</v>
      </c>
      <c r="D333" s="2" t="s">
        <v>334</v>
      </c>
      <c r="E333" s="2" t="s">
        <v>302</v>
      </c>
      <c r="F333" s="2">
        <v>230</v>
      </c>
      <c r="G333" s="2"/>
    </row>
    <row r="334" spans="1:7" ht="15" customHeight="1">
      <c r="A334" s="3" t="s">
        <v>735</v>
      </c>
      <c r="B334" s="3" t="s">
        <v>17</v>
      </c>
      <c r="C334" s="3">
        <v>48</v>
      </c>
      <c r="D334" s="3" t="s">
        <v>334</v>
      </c>
      <c r="E334" s="3" t="s">
        <v>302</v>
      </c>
      <c r="F334" s="3">
        <v>240</v>
      </c>
      <c r="G334" s="3"/>
    </row>
    <row r="335" spans="1:7" ht="15" customHeight="1">
      <c r="A335" s="2" t="s">
        <v>736</v>
      </c>
      <c r="B335" s="2" t="s">
        <v>19</v>
      </c>
      <c r="C335" s="2">
        <v>48</v>
      </c>
      <c r="D335" s="2" t="s">
        <v>334</v>
      </c>
      <c r="E335" s="2" t="s">
        <v>302</v>
      </c>
      <c r="F335" s="2">
        <v>217</v>
      </c>
      <c r="G335" s="2"/>
    </row>
    <row r="336" spans="1:7" ht="15" customHeight="1">
      <c r="A336" s="3" t="s">
        <v>737</v>
      </c>
      <c r="B336" s="3" t="s">
        <v>21</v>
      </c>
      <c r="C336" s="3">
        <v>48</v>
      </c>
      <c r="D336" s="3" t="s">
        <v>334</v>
      </c>
      <c r="E336" s="3" t="s">
        <v>302</v>
      </c>
      <c r="F336" s="3">
        <v>251</v>
      </c>
      <c r="G336" s="3"/>
    </row>
    <row r="337" spans="1:7" ht="15" customHeight="1">
      <c r="A337" s="2" t="s">
        <v>738</v>
      </c>
      <c r="B337" s="2" t="s">
        <v>23</v>
      </c>
      <c r="C337" s="2">
        <v>48</v>
      </c>
      <c r="D337" s="2" t="s">
        <v>365</v>
      </c>
      <c r="E337" s="2" t="s">
        <v>302</v>
      </c>
      <c r="F337" s="2">
        <v>235</v>
      </c>
      <c r="G337" s="2"/>
    </row>
    <row r="338" spans="1:7" ht="15" customHeight="1">
      <c r="A338" s="3" t="s">
        <v>739</v>
      </c>
      <c r="B338" s="3" t="s">
        <v>9</v>
      </c>
      <c r="C338" s="3">
        <v>48</v>
      </c>
      <c r="D338" s="3" t="s">
        <v>365</v>
      </c>
      <c r="E338" s="3" t="s">
        <v>302</v>
      </c>
      <c r="F338" s="3">
        <v>200</v>
      </c>
      <c r="G338" s="3"/>
    </row>
    <row r="339" spans="1:7" ht="15" customHeight="1">
      <c r="A339" s="2" t="s">
        <v>740</v>
      </c>
      <c r="B339" s="2" t="s">
        <v>13</v>
      </c>
      <c r="C339" s="2">
        <v>48</v>
      </c>
      <c r="D339" s="2" t="s">
        <v>365</v>
      </c>
      <c r="E339" s="2" t="s">
        <v>302</v>
      </c>
      <c r="F339" s="2">
        <v>224</v>
      </c>
      <c r="G339" s="2"/>
    </row>
    <row r="340" spans="1:7" ht="15" customHeight="1">
      <c r="A340" s="3" t="s">
        <v>741</v>
      </c>
      <c r="B340" s="3" t="s">
        <v>15</v>
      </c>
      <c r="C340" s="3">
        <v>49</v>
      </c>
      <c r="D340" s="3" t="s">
        <v>365</v>
      </c>
      <c r="E340" s="3" t="s">
        <v>302</v>
      </c>
      <c r="F340" s="3">
        <v>229</v>
      </c>
      <c r="G340" s="3"/>
    </row>
    <row r="341" spans="1:7" ht="15" customHeight="1">
      <c r="A341" s="2" t="s">
        <v>742</v>
      </c>
      <c r="B341" s="2" t="s">
        <v>17</v>
      </c>
      <c r="C341" s="2">
        <v>49</v>
      </c>
      <c r="D341" s="2" t="s">
        <v>365</v>
      </c>
      <c r="E341" s="2" t="s">
        <v>302</v>
      </c>
      <c r="F341" s="2">
        <v>219</v>
      </c>
      <c r="G341" s="2"/>
    </row>
    <row r="342" spans="1:7" ht="15" customHeight="1">
      <c r="A342" s="3" t="s">
        <v>743</v>
      </c>
      <c r="B342" s="3" t="s">
        <v>19</v>
      </c>
      <c r="C342" s="3">
        <v>49</v>
      </c>
      <c r="D342" s="3" t="s">
        <v>365</v>
      </c>
      <c r="E342" s="3" t="s">
        <v>302</v>
      </c>
      <c r="F342" s="3">
        <v>217</v>
      </c>
      <c r="G342" s="3"/>
    </row>
    <row r="343" spans="1:7" ht="15" customHeight="1">
      <c r="A343" s="2" t="s">
        <v>744</v>
      </c>
      <c r="B343" s="2" t="s">
        <v>21</v>
      </c>
      <c r="C343" s="2">
        <v>49</v>
      </c>
      <c r="D343" s="2" t="s">
        <v>365</v>
      </c>
      <c r="E343" s="2" t="s">
        <v>302</v>
      </c>
      <c r="F343" s="2">
        <v>250</v>
      </c>
      <c r="G343" s="2"/>
    </row>
    <row r="344" spans="1:7" ht="15" customHeight="1">
      <c r="A344" s="3" t="s">
        <v>745</v>
      </c>
      <c r="B344" s="3" t="s">
        <v>23</v>
      </c>
      <c r="C344" s="3">
        <v>49</v>
      </c>
      <c r="D344" s="3" t="s">
        <v>365</v>
      </c>
      <c r="E344" s="3" t="s">
        <v>302</v>
      </c>
      <c r="F344" s="3">
        <v>223</v>
      </c>
      <c r="G344" s="3"/>
    </row>
    <row r="345" spans="1:7" ht="15" customHeight="1">
      <c r="A345" s="2" t="s">
        <v>746</v>
      </c>
      <c r="B345" s="2" t="s">
        <v>9</v>
      </c>
      <c r="C345" s="2">
        <v>49</v>
      </c>
      <c r="D345" s="2" t="s">
        <v>365</v>
      </c>
      <c r="E345" s="2" t="s">
        <v>302</v>
      </c>
      <c r="F345" s="2">
        <v>239</v>
      </c>
      <c r="G345" s="2"/>
    </row>
    <row r="346" spans="1:7" ht="15" customHeight="1">
      <c r="A346" s="3" t="s">
        <v>747</v>
      </c>
      <c r="B346" s="3" t="s">
        <v>13</v>
      </c>
      <c r="C346" s="3">
        <v>49</v>
      </c>
      <c r="D346" s="3" t="s">
        <v>365</v>
      </c>
      <c r="E346" s="3" t="s">
        <v>302</v>
      </c>
      <c r="F346" s="3">
        <v>182</v>
      </c>
      <c r="G346" s="3"/>
    </row>
    <row r="347" spans="1:7" ht="15" customHeight="1">
      <c r="A347" s="2" t="s">
        <v>748</v>
      </c>
      <c r="B347" s="2" t="s">
        <v>15</v>
      </c>
      <c r="C347" s="2">
        <v>50</v>
      </c>
      <c r="D347" s="2" t="s">
        <v>365</v>
      </c>
      <c r="E347" s="2" t="s">
        <v>302</v>
      </c>
      <c r="F347" s="2">
        <v>269</v>
      </c>
      <c r="G347" s="2"/>
    </row>
    <row r="348" spans="1:7" ht="15" customHeight="1">
      <c r="A348" s="3" t="s">
        <v>749</v>
      </c>
      <c r="B348" s="3" t="s">
        <v>17</v>
      </c>
      <c r="C348" s="3">
        <v>50</v>
      </c>
      <c r="D348" s="3" t="s">
        <v>365</v>
      </c>
      <c r="E348" s="3" t="s">
        <v>302</v>
      </c>
      <c r="F348" s="3">
        <v>247</v>
      </c>
      <c r="G348" s="3"/>
    </row>
    <row r="349" spans="1:7" ht="15" customHeight="1">
      <c r="A349" s="2" t="s">
        <v>750</v>
      </c>
      <c r="B349" s="2" t="s">
        <v>19</v>
      </c>
      <c r="C349" s="2">
        <v>50</v>
      </c>
      <c r="D349" s="2" t="s">
        <v>365</v>
      </c>
      <c r="E349" s="2" t="s">
        <v>302</v>
      </c>
      <c r="F349" s="2">
        <v>243</v>
      </c>
      <c r="G349" s="2"/>
    </row>
    <row r="350" spans="1:7" ht="15" customHeight="1">
      <c r="A350" s="3" t="s">
        <v>751</v>
      </c>
      <c r="B350" s="3" t="s">
        <v>21</v>
      </c>
      <c r="C350" s="3">
        <v>50</v>
      </c>
      <c r="D350" s="3" t="s">
        <v>365</v>
      </c>
      <c r="E350" s="3" t="s">
        <v>302</v>
      </c>
      <c r="F350" s="3">
        <v>237</v>
      </c>
      <c r="G350" s="3"/>
    </row>
    <row r="351" spans="1:7" ht="15" customHeight="1">
      <c r="A351" s="2" t="s">
        <v>752</v>
      </c>
      <c r="B351" s="2" t="s">
        <v>23</v>
      </c>
      <c r="C351" s="2">
        <v>50</v>
      </c>
      <c r="D351" s="2" t="s">
        <v>365</v>
      </c>
      <c r="E351" s="2" t="s">
        <v>302</v>
      </c>
      <c r="F351" s="2">
        <v>252</v>
      </c>
      <c r="G351" s="2"/>
    </row>
    <row r="352" spans="1:7" ht="15" customHeight="1">
      <c r="A352" s="3" t="s">
        <v>753</v>
      </c>
      <c r="B352" s="3" t="s">
        <v>9</v>
      </c>
      <c r="C352" s="3">
        <v>50</v>
      </c>
      <c r="D352" s="3" t="s">
        <v>365</v>
      </c>
      <c r="E352" s="3" t="s">
        <v>302</v>
      </c>
      <c r="F352" s="3">
        <v>216</v>
      </c>
      <c r="G352" s="3"/>
    </row>
    <row r="353" spans="1:7" ht="15" customHeight="1">
      <c r="A353" s="2" t="s">
        <v>754</v>
      </c>
      <c r="B353" s="2" t="s">
        <v>13</v>
      </c>
      <c r="C353" s="2">
        <v>50</v>
      </c>
      <c r="D353" s="2" t="s">
        <v>365</v>
      </c>
      <c r="E353" s="2" t="s">
        <v>302</v>
      </c>
      <c r="F353" s="2">
        <v>234</v>
      </c>
      <c r="G353" s="2"/>
    </row>
    <row r="354" spans="1:7" ht="15" customHeight="1">
      <c r="A354" s="3" t="s">
        <v>755</v>
      </c>
      <c r="B354" s="3" t="s">
        <v>15</v>
      </c>
      <c r="C354" s="3">
        <v>51</v>
      </c>
      <c r="D354" s="3" t="s">
        <v>365</v>
      </c>
      <c r="E354" s="3" t="s">
        <v>302</v>
      </c>
      <c r="F354" s="3">
        <v>250</v>
      </c>
      <c r="G354" s="3"/>
    </row>
    <row r="355" spans="1:7" ht="15" customHeight="1">
      <c r="A355" s="2" t="s">
        <v>756</v>
      </c>
      <c r="B355" s="2" t="s">
        <v>17</v>
      </c>
      <c r="C355" s="2">
        <v>51</v>
      </c>
      <c r="D355" s="2" t="s">
        <v>365</v>
      </c>
      <c r="E355" s="2" t="s">
        <v>302</v>
      </c>
      <c r="F355" s="2">
        <v>251</v>
      </c>
      <c r="G355" s="2"/>
    </row>
    <row r="356" spans="1:7" ht="15" customHeight="1">
      <c r="A356" s="3" t="s">
        <v>757</v>
      </c>
      <c r="B356" s="3" t="s">
        <v>19</v>
      </c>
      <c r="C356" s="3">
        <v>51</v>
      </c>
      <c r="D356" s="3" t="s">
        <v>365</v>
      </c>
      <c r="E356" s="3" t="s">
        <v>302</v>
      </c>
      <c r="F356" s="3">
        <v>244</v>
      </c>
      <c r="G356" s="3"/>
    </row>
    <row r="357" spans="1:7" ht="15" customHeight="1">
      <c r="A357" s="2" t="s">
        <v>758</v>
      </c>
      <c r="B357" s="2" t="s">
        <v>21</v>
      </c>
      <c r="C357" s="2">
        <v>51</v>
      </c>
      <c r="D357" s="2" t="s">
        <v>365</v>
      </c>
      <c r="E357" s="2" t="s">
        <v>302</v>
      </c>
      <c r="F357" s="2">
        <v>249</v>
      </c>
      <c r="G357" s="2"/>
    </row>
    <row r="358" spans="1:7" ht="15" customHeight="1">
      <c r="A358" s="3" t="s">
        <v>759</v>
      </c>
      <c r="B358" s="3" t="s">
        <v>23</v>
      </c>
      <c r="C358" s="3">
        <v>51</v>
      </c>
      <c r="D358" s="3" t="s">
        <v>365</v>
      </c>
      <c r="E358" s="3" t="s">
        <v>302</v>
      </c>
      <c r="F358" s="3">
        <v>255</v>
      </c>
      <c r="G358" s="3"/>
    </row>
    <row r="359" spans="1:7" ht="15" customHeight="1">
      <c r="A359" s="2" t="s">
        <v>760</v>
      </c>
      <c r="B359" s="2" t="s">
        <v>9</v>
      </c>
      <c r="C359" s="2">
        <v>51</v>
      </c>
      <c r="D359" s="2" t="s">
        <v>365</v>
      </c>
      <c r="E359" s="2" t="s">
        <v>302</v>
      </c>
      <c r="F359" s="2">
        <v>195</v>
      </c>
      <c r="G359" s="2"/>
    </row>
    <row r="360" spans="1:7" ht="15" customHeight="1">
      <c r="A360" s="3" t="s">
        <v>761</v>
      </c>
      <c r="B360" s="3" t="s">
        <v>13</v>
      </c>
      <c r="C360" s="3">
        <v>51</v>
      </c>
      <c r="D360" s="3" t="s">
        <v>365</v>
      </c>
      <c r="E360" s="3" t="s">
        <v>302</v>
      </c>
      <c r="F360" s="3">
        <v>201</v>
      </c>
      <c r="G360" s="3"/>
    </row>
    <row r="361" spans="1:7" ht="15" customHeight="1">
      <c r="A361" s="2" t="s">
        <v>762</v>
      </c>
      <c r="B361" s="2" t="s">
        <v>15</v>
      </c>
      <c r="C361" s="2">
        <v>52</v>
      </c>
      <c r="D361" s="2" t="s">
        <v>365</v>
      </c>
      <c r="E361" s="2" t="s">
        <v>302</v>
      </c>
      <c r="F361" s="2">
        <v>263</v>
      </c>
      <c r="G361" s="2"/>
    </row>
    <row r="362" spans="1:7" ht="15" customHeight="1">
      <c r="A362" s="3" t="s">
        <v>763</v>
      </c>
      <c r="B362" s="3" t="s">
        <v>17</v>
      </c>
      <c r="C362" s="3">
        <v>52</v>
      </c>
      <c r="D362" s="3" t="s">
        <v>365</v>
      </c>
      <c r="E362" s="3" t="s">
        <v>302</v>
      </c>
      <c r="F362" s="3">
        <v>255</v>
      </c>
      <c r="G362" s="3"/>
    </row>
    <row r="363" spans="1:7" ht="15" customHeight="1">
      <c r="A363" s="2" t="s">
        <v>764</v>
      </c>
      <c r="B363" s="2" t="s">
        <v>19</v>
      </c>
      <c r="C363" s="2">
        <v>52</v>
      </c>
      <c r="D363" s="2" t="s">
        <v>365</v>
      </c>
      <c r="E363" s="2" t="s">
        <v>302</v>
      </c>
      <c r="F363" s="2">
        <v>251</v>
      </c>
      <c r="G363" s="2"/>
    </row>
    <row r="364" spans="1:7" ht="15" customHeight="1">
      <c r="A364" s="3" t="s">
        <v>765</v>
      </c>
      <c r="B364" s="3" t="s">
        <v>21</v>
      </c>
      <c r="C364" s="3">
        <v>52</v>
      </c>
      <c r="D364" s="3" t="s">
        <v>365</v>
      </c>
      <c r="E364" s="3" t="s">
        <v>302</v>
      </c>
      <c r="F364" s="3">
        <v>254</v>
      </c>
      <c r="G364" s="3"/>
    </row>
    <row r="365" spans="1:7" ht="15" customHeight="1">
      <c r="A365" s="2" t="s">
        <v>766</v>
      </c>
      <c r="B365" s="2" t="s">
        <v>23</v>
      </c>
      <c r="C365" s="2">
        <v>52</v>
      </c>
      <c r="D365" s="2" t="s">
        <v>365</v>
      </c>
      <c r="E365" s="2" t="s">
        <v>302</v>
      </c>
      <c r="F365" s="2">
        <v>260</v>
      </c>
      <c r="G365" s="2"/>
    </row>
    <row r="366" spans="1:7" ht="15" customHeight="1">
      <c r="A366" s="3" t="s">
        <v>767</v>
      </c>
      <c r="B366" s="3" t="s">
        <v>9</v>
      </c>
      <c r="C366" s="3">
        <v>52</v>
      </c>
      <c r="D366" s="3" t="s">
        <v>365</v>
      </c>
      <c r="E366" s="3" t="s">
        <v>302</v>
      </c>
      <c r="F366" s="3">
        <v>217</v>
      </c>
      <c r="G366" s="3"/>
    </row>
    <row r="367" spans="1:7" ht="15" customHeight="1">
      <c r="A367" s="2" t="s">
        <v>768</v>
      </c>
      <c r="B367" s="2" t="s">
        <v>13</v>
      </c>
      <c r="C367" s="2">
        <v>52</v>
      </c>
      <c r="D367" s="2" t="s">
        <v>365</v>
      </c>
      <c r="E367" s="2" t="s">
        <v>302</v>
      </c>
      <c r="F367" s="2">
        <v>214</v>
      </c>
      <c r="G367" s="2"/>
    </row>
    <row r="370" spans="1:6" ht="15" customHeight="1">
      <c r="A370" s="52" t="s">
        <v>769</v>
      </c>
      <c r="B370" s="52"/>
      <c r="C370" s="52"/>
      <c r="D370" s="52"/>
      <c r="E370" s="52"/>
      <c r="F370" s="52"/>
    </row>
    <row r="371" spans="1:6" ht="39" customHeight="1">
      <c r="A371" s="1" t="s">
        <v>4</v>
      </c>
      <c r="B371" s="1" t="s">
        <v>397</v>
      </c>
      <c r="C371" s="1" t="s">
        <v>398</v>
      </c>
      <c r="D371" s="1" t="s">
        <v>399</v>
      </c>
      <c r="E371" s="1" t="s">
        <v>400</v>
      </c>
      <c r="F371" s="1" t="s">
        <v>401</v>
      </c>
    </row>
    <row r="372" spans="1:6" ht="15" customHeight="1">
      <c r="A372" s="2" t="s">
        <v>10</v>
      </c>
      <c r="B372" s="2">
        <v>5528</v>
      </c>
      <c r="C372" s="2">
        <v>178.3</v>
      </c>
      <c r="D372" s="2">
        <v>139</v>
      </c>
      <c r="E372" s="2">
        <v>215</v>
      </c>
      <c r="F372" s="2">
        <v>19.399999999999999</v>
      </c>
    </row>
    <row r="373" spans="1:6" ht="15" customHeight="1">
      <c r="A373" s="3" t="s">
        <v>49</v>
      </c>
      <c r="B373" s="3">
        <v>5345</v>
      </c>
      <c r="C373" s="3">
        <v>190.9</v>
      </c>
      <c r="D373" s="3">
        <v>138</v>
      </c>
      <c r="E373" s="3">
        <v>224</v>
      </c>
      <c r="F373" s="3">
        <v>20.399999999999999</v>
      </c>
    </row>
    <row r="374" spans="1:6" ht="15" customHeight="1">
      <c r="A374" s="2" t="s">
        <v>78</v>
      </c>
      <c r="B374" s="2">
        <v>6283</v>
      </c>
      <c r="C374" s="2">
        <v>202.7</v>
      </c>
      <c r="D374" s="2">
        <v>154</v>
      </c>
      <c r="E374" s="2">
        <v>236</v>
      </c>
      <c r="F374" s="2">
        <v>20.3</v>
      </c>
    </row>
    <row r="375" spans="1:6" ht="15" customHeight="1">
      <c r="A375" s="3" t="s">
        <v>110</v>
      </c>
      <c r="B375" s="3">
        <v>6612</v>
      </c>
      <c r="C375" s="3">
        <v>220.4</v>
      </c>
      <c r="D375" s="3">
        <v>181</v>
      </c>
      <c r="E375" s="3">
        <v>282</v>
      </c>
      <c r="F375" s="3">
        <v>24</v>
      </c>
    </row>
    <row r="376" spans="1:6" ht="15" customHeight="1">
      <c r="A376" s="2" t="s">
        <v>142</v>
      </c>
      <c r="B376" s="2">
        <v>7318</v>
      </c>
      <c r="C376" s="2">
        <v>236.1</v>
      </c>
      <c r="D376" s="2">
        <v>202</v>
      </c>
      <c r="E376" s="2">
        <v>275</v>
      </c>
      <c r="F376" s="2">
        <v>19.5</v>
      </c>
    </row>
    <row r="377" spans="1:6" ht="15" customHeight="1">
      <c r="A377" s="3" t="s">
        <v>174</v>
      </c>
      <c r="B377" s="3">
        <v>7191</v>
      </c>
      <c r="C377" s="3">
        <v>239.7</v>
      </c>
      <c r="D377" s="3">
        <v>196</v>
      </c>
      <c r="E377" s="3">
        <v>276</v>
      </c>
      <c r="F377" s="3">
        <v>20.399999999999999</v>
      </c>
    </row>
    <row r="378" spans="1:6" ht="15" customHeight="1">
      <c r="A378" s="2" t="s">
        <v>205</v>
      </c>
      <c r="B378" s="2">
        <v>7536</v>
      </c>
      <c r="C378" s="2">
        <v>243.1</v>
      </c>
      <c r="D378" s="2">
        <v>187</v>
      </c>
      <c r="E378" s="2">
        <v>277</v>
      </c>
      <c r="F378" s="2">
        <v>21.1</v>
      </c>
    </row>
    <row r="379" spans="1:6" ht="15" customHeight="1">
      <c r="A379" s="3" t="s">
        <v>238</v>
      </c>
      <c r="B379" s="3">
        <v>7431</v>
      </c>
      <c r="C379" s="3">
        <v>239.7</v>
      </c>
      <c r="D379" s="3">
        <v>204</v>
      </c>
      <c r="E379" s="3">
        <v>282</v>
      </c>
      <c r="F379" s="3">
        <v>19</v>
      </c>
    </row>
    <row r="380" spans="1:6" ht="15" customHeight="1">
      <c r="A380" s="2" t="s">
        <v>270</v>
      </c>
      <c r="B380" s="2">
        <v>6736</v>
      </c>
      <c r="C380" s="2">
        <v>224.5</v>
      </c>
      <c r="D380" s="2">
        <v>175</v>
      </c>
      <c r="E380" s="2">
        <v>274</v>
      </c>
      <c r="F380" s="2">
        <v>21.6</v>
      </c>
    </row>
    <row r="381" spans="1:6" ht="15" customHeight="1">
      <c r="A381" s="3" t="s">
        <v>301</v>
      </c>
      <c r="B381" s="3">
        <v>6208</v>
      </c>
      <c r="C381" s="3">
        <v>200.3</v>
      </c>
      <c r="D381" s="3">
        <v>156</v>
      </c>
      <c r="E381" s="3">
        <v>250</v>
      </c>
      <c r="F381" s="3">
        <v>22.1</v>
      </c>
    </row>
    <row r="382" spans="1:6" ht="15" customHeight="1">
      <c r="A382" s="2" t="s">
        <v>334</v>
      </c>
      <c r="B382" s="2">
        <v>6602</v>
      </c>
      <c r="C382" s="2">
        <v>220.1</v>
      </c>
      <c r="D382" s="2">
        <v>186</v>
      </c>
      <c r="E382" s="2">
        <v>251</v>
      </c>
      <c r="F382" s="2">
        <v>19.8</v>
      </c>
    </row>
    <row r="383" spans="1:6" ht="15" customHeight="1">
      <c r="A383" s="3" t="s">
        <v>365</v>
      </c>
      <c r="B383" s="3">
        <v>7275</v>
      </c>
      <c r="C383" s="3">
        <v>234.7</v>
      </c>
      <c r="D383" s="3">
        <v>182</v>
      </c>
      <c r="E383" s="3">
        <v>269</v>
      </c>
      <c r="F383" s="3">
        <v>21.8</v>
      </c>
    </row>
    <row r="384" spans="1:6" ht="15" customHeight="1">
      <c r="A384" s="4" t="s">
        <v>402</v>
      </c>
      <c r="B384" s="4">
        <f>SUM(B372:B383)</f>
        <v>80065</v>
      </c>
      <c r="C384" s="4">
        <f>ROUND(AVERAGE(C372:C383),1)</f>
        <v>219.2</v>
      </c>
      <c r="D384" s="4">
        <f>MIN(D372:D383)</f>
        <v>138</v>
      </c>
      <c r="E384" s="4">
        <f>MAX(E372:E383)</f>
        <v>282</v>
      </c>
      <c r="F384" s="4"/>
    </row>
  </sheetData>
  <mergeCells count="2">
    <mergeCell ref="A1:G1"/>
    <mergeCell ref="A370:F37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85"/>
  <sheetViews>
    <sheetView zoomScaleNormal="100" workbookViewId="0">
      <pane ySplit="2" topLeftCell="A347" activePane="bottomLeft" state="frozen"/>
      <selection pane="bottomLeft" activeCell="I42" sqref="I42"/>
    </sheetView>
  </sheetViews>
  <sheetFormatPr defaultColWidth="8.6640625" defaultRowHeight="14.4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</cols>
  <sheetData>
    <row r="1" spans="1:7" ht="27.75" customHeight="1">
      <c r="A1" s="51" t="s">
        <v>770</v>
      </c>
      <c r="B1" s="51"/>
      <c r="C1" s="51"/>
      <c r="D1" s="51"/>
      <c r="E1" s="51"/>
      <c r="F1" s="51"/>
      <c r="G1" s="51"/>
    </row>
    <row r="2" spans="1:7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customHeight="1">
      <c r="A3" s="2" t="s">
        <v>771</v>
      </c>
      <c r="B3" s="2" t="s">
        <v>15</v>
      </c>
      <c r="C3" s="2">
        <v>1</v>
      </c>
      <c r="D3" s="2" t="s">
        <v>10</v>
      </c>
      <c r="E3" s="2" t="s">
        <v>11</v>
      </c>
      <c r="F3" s="2">
        <v>209</v>
      </c>
      <c r="G3" s="2"/>
    </row>
    <row r="4" spans="1:7" ht="15" customHeight="1">
      <c r="A4" s="3" t="s">
        <v>772</v>
      </c>
      <c r="B4" s="3" t="s">
        <v>17</v>
      </c>
      <c r="C4" s="3">
        <v>1</v>
      </c>
      <c r="D4" s="3" t="s">
        <v>10</v>
      </c>
      <c r="E4" s="3" t="s">
        <v>11</v>
      </c>
      <c r="F4" s="3">
        <v>191</v>
      </c>
      <c r="G4" s="3"/>
    </row>
    <row r="5" spans="1:7" ht="15" customHeight="1">
      <c r="A5" s="2" t="s">
        <v>773</v>
      </c>
      <c r="B5" s="2" t="s">
        <v>19</v>
      </c>
      <c r="C5" s="2">
        <v>1</v>
      </c>
      <c r="D5" s="2" t="s">
        <v>10</v>
      </c>
      <c r="E5" s="2" t="s">
        <v>11</v>
      </c>
      <c r="F5" s="2">
        <v>212</v>
      </c>
      <c r="G5" s="2"/>
    </row>
    <row r="6" spans="1:7" ht="15" customHeight="1">
      <c r="A6" s="3" t="s">
        <v>774</v>
      </c>
      <c r="B6" s="3" t="s">
        <v>21</v>
      </c>
      <c r="C6" s="3">
        <v>1</v>
      </c>
      <c r="D6" s="3" t="s">
        <v>10</v>
      </c>
      <c r="E6" s="3" t="s">
        <v>11</v>
      </c>
      <c r="F6" s="3">
        <v>181</v>
      </c>
      <c r="G6" s="3"/>
    </row>
    <row r="7" spans="1:7" ht="15" customHeight="1">
      <c r="A7" s="2" t="s">
        <v>775</v>
      </c>
      <c r="B7" s="2" t="s">
        <v>23</v>
      </c>
      <c r="C7" s="2">
        <v>1</v>
      </c>
      <c r="D7" s="2" t="s">
        <v>10</v>
      </c>
      <c r="E7" s="2" t="s">
        <v>11</v>
      </c>
      <c r="F7" s="2">
        <v>222</v>
      </c>
      <c r="G7" s="2"/>
    </row>
    <row r="8" spans="1:7" ht="15" customHeight="1">
      <c r="A8" s="3" t="s">
        <v>776</v>
      </c>
      <c r="B8" s="3" t="s">
        <v>9</v>
      </c>
      <c r="C8" s="3">
        <v>1</v>
      </c>
      <c r="D8" s="3" t="s">
        <v>10</v>
      </c>
      <c r="E8" s="3" t="s">
        <v>11</v>
      </c>
      <c r="F8" s="3">
        <v>184</v>
      </c>
      <c r="G8" s="3"/>
    </row>
    <row r="9" spans="1:7" ht="15" customHeight="1">
      <c r="A9" s="2" t="s">
        <v>777</v>
      </c>
      <c r="B9" s="2" t="s">
        <v>13</v>
      </c>
      <c r="C9" s="2">
        <v>1</v>
      </c>
      <c r="D9" s="2" t="s">
        <v>10</v>
      </c>
      <c r="E9" s="2" t="s">
        <v>11</v>
      </c>
      <c r="F9" s="2">
        <v>181</v>
      </c>
      <c r="G9" s="2"/>
    </row>
    <row r="10" spans="1:7" ht="15" customHeight="1">
      <c r="A10" s="3" t="s">
        <v>778</v>
      </c>
      <c r="B10" s="3" t="s">
        <v>15</v>
      </c>
      <c r="C10" s="3">
        <v>2</v>
      </c>
      <c r="D10" s="3" t="s">
        <v>10</v>
      </c>
      <c r="E10" s="3" t="s">
        <v>11</v>
      </c>
      <c r="F10" s="3">
        <v>222</v>
      </c>
      <c r="G10" s="3"/>
    </row>
    <row r="11" spans="1:7" ht="15" customHeight="1">
      <c r="A11" s="2" t="s">
        <v>779</v>
      </c>
      <c r="B11" s="2" t="s">
        <v>17</v>
      </c>
      <c r="C11" s="2">
        <v>2</v>
      </c>
      <c r="D11" s="2" t="s">
        <v>10</v>
      </c>
      <c r="E11" s="2" t="s">
        <v>11</v>
      </c>
      <c r="F11" s="2">
        <v>233</v>
      </c>
      <c r="G11" s="2"/>
    </row>
    <row r="12" spans="1:7" ht="15" customHeight="1">
      <c r="A12" s="3" t="s">
        <v>780</v>
      </c>
      <c r="B12" s="3" t="s">
        <v>19</v>
      </c>
      <c r="C12" s="3">
        <v>2</v>
      </c>
      <c r="D12" s="3" t="s">
        <v>10</v>
      </c>
      <c r="E12" s="3" t="s">
        <v>11</v>
      </c>
      <c r="F12" s="3">
        <v>223</v>
      </c>
      <c r="G12" s="3"/>
    </row>
    <row r="13" spans="1:7" ht="15" customHeight="1">
      <c r="A13" s="2" t="s">
        <v>781</v>
      </c>
      <c r="B13" s="2" t="s">
        <v>21</v>
      </c>
      <c r="C13" s="2">
        <v>2</v>
      </c>
      <c r="D13" s="2" t="s">
        <v>10</v>
      </c>
      <c r="E13" s="2" t="s">
        <v>11</v>
      </c>
      <c r="F13" s="2">
        <v>180</v>
      </c>
      <c r="G13" s="2"/>
    </row>
    <row r="14" spans="1:7" ht="15" customHeight="1">
      <c r="A14" s="3" t="s">
        <v>782</v>
      </c>
      <c r="B14" s="3" t="s">
        <v>23</v>
      </c>
      <c r="C14" s="3">
        <v>2</v>
      </c>
      <c r="D14" s="3" t="s">
        <v>10</v>
      </c>
      <c r="E14" s="3" t="s">
        <v>11</v>
      </c>
      <c r="F14" s="3">
        <v>189</v>
      </c>
      <c r="G14" s="3"/>
    </row>
    <row r="15" spans="1:7" ht="15" customHeight="1">
      <c r="A15" s="2" t="s">
        <v>783</v>
      </c>
      <c r="B15" s="2" t="s">
        <v>9</v>
      </c>
      <c r="C15" s="2">
        <v>2</v>
      </c>
      <c r="D15" s="2" t="s">
        <v>10</v>
      </c>
      <c r="E15" s="2" t="s">
        <v>11</v>
      </c>
      <c r="F15" s="2">
        <v>169</v>
      </c>
      <c r="G15" s="2"/>
    </row>
    <row r="16" spans="1:7" ht="15" customHeight="1">
      <c r="A16" s="3" t="s">
        <v>784</v>
      </c>
      <c r="B16" s="3" t="s">
        <v>13</v>
      </c>
      <c r="C16" s="3">
        <v>2</v>
      </c>
      <c r="D16" s="3" t="s">
        <v>10</v>
      </c>
      <c r="E16" s="3" t="s">
        <v>11</v>
      </c>
      <c r="F16" s="3">
        <v>179</v>
      </c>
      <c r="G16" s="3"/>
    </row>
    <row r="17" spans="1:7" ht="15" customHeight="1">
      <c r="A17" s="2" t="s">
        <v>785</v>
      </c>
      <c r="B17" s="2" t="s">
        <v>15</v>
      </c>
      <c r="C17" s="2">
        <v>3</v>
      </c>
      <c r="D17" s="2" t="s">
        <v>10</v>
      </c>
      <c r="E17" s="2" t="s">
        <v>11</v>
      </c>
      <c r="F17" s="2">
        <v>217</v>
      </c>
      <c r="G17" s="2"/>
    </row>
    <row r="18" spans="1:7" ht="15" customHeight="1">
      <c r="A18" s="3" t="s">
        <v>786</v>
      </c>
      <c r="B18" s="3" t="s">
        <v>17</v>
      </c>
      <c r="C18" s="3">
        <v>3</v>
      </c>
      <c r="D18" s="3" t="s">
        <v>10</v>
      </c>
      <c r="E18" s="3" t="s">
        <v>11</v>
      </c>
      <c r="F18" s="3">
        <v>199</v>
      </c>
      <c r="G18" s="3"/>
    </row>
    <row r="19" spans="1:7" ht="15" customHeight="1">
      <c r="A19" s="2" t="s">
        <v>787</v>
      </c>
      <c r="B19" s="2" t="s">
        <v>19</v>
      </c>
      <c r="C19" s="2">
        <v>3</v>
      </c>
      <c r="D19" s="2" t="s">
        <v>10</v>
      </c>
      <c r="E19" s="2" t="s">
        <v>11</v>
      </c>
      <c r="F19" s="2">
        <v>213</v>
      </c>
      <c r="G19" s="2"/>
    </row>
    <row r="20" spans="1:7" ht="15" customHeight="1">
      <c r="A20" s="3" t="s">
        <v>788</v>
      </c>
      <c r="B20" s="3" t="s">
        <v>21</v>
      </c>
      <c r="C20" s="3">
        <v>3</v>
      </c>
      <c r="D20" s="3" t="s">
        <v>10</v>
      </c>
      <c r="E20" s="3" t="s">
        <v>11</v>
      </c>
      <c r="F20" s="3">
        <v>199</v>
      </c>
      <c r="G20" s="3"/>
    </row>
    <row r="21" spans="1:7" ht="15" customHeight="1">
      <c r="A21" s="2" t="s">
        <v>789</v>
      </c>
      <c r="B21" s="2" t="s">
        <v>23</v>
      </c>
      <c r="C21" s="2">
        <v>3</v>
      </c>
      <c r="D21" s="2" t="s">
        <v>10</v>
      </c>
      <c r="E21" s="2" t="s">
        <v>11</v>
      </c>
      <c r="F21" s="2">
        <v>201</v>
      </c>
      <c r="G21" s="2"/>
    </row>
    <row r="22" spans="1:7" ht="15" customHeight="1">
      <c r="A22" s="3" t="s">
        <v>790</v>
      </c>
      <c r="B22" s="3" t="s">
        <v>9</v>
      </c>
      <c r="C22" s="3">
        <v>3</v>
      </c>
      <c r="D22" s="3" t="s">
        <v>10</v>
      </c>
      <c r="E22" s="3" t="s">
        <v>11</v>
      </c>
      <c r="F22" s="3">
        <v>160</v>
      </c>
      <c r="G22" s="3"/>
    </row>
    <row r="23" spans="1:7" ht="15" customHeight="1">
      <c r="A23" s="2" t="s">
        <v>791</v>
      </c>
      <c r="B23" s="2" t="s">
        <v>13</v>
      </c>
      <c r="C23" s="2">
        <v>3</v>
      </c>
      <c r="D23" s="2" t="s">
        <v>10</v>
      </c>
      <c r="E23" s="2" t="s">
        <v>11</v>
      </c>
      <c r="F23" s="2">
        <v>168</v>
      </c>
      <c r="G23" s="2"/>
    </row>
    <row r="24" spans="1:7" ht="15" customHeight="1">
      <c r="A24" s="3" t="s">
        <v>792</v>
      </c>
      <c r="B24" s="3" t="s">
        <v>15</v>
      </c>
      <c r="C24" s="3">
        <v>4</v>
      </c>
      <c r="D24" s="3" t="s">
        <v>10</v>
      </c>
      <c r="E24" s="3" t="s">
        <v>11</v>
      </c>
      <c r="F24" s="3">
        <v>191</v>
      </c>
      <c r="G24" s="3"/>
    </row>
    <row r="25" spans="1:7" ht="15" customHeight="1">
      <c r="A25" s="2" t="s">
        <v>793</v>
      </c>
      <c r="B25" s="2" t="s">
        <v>17</v>
      </c>
      <c r="C25" s="2">
        <v>4</v>
      </c>
      <c r="D25" s="2" t="s">
        <v>10</v>
      </c>
      <c r="E25" s="2" t="s">
        <v>11</v>
      </c>
      <c r="F25" s="2">
        <v>197</v>
      </c>
      <c r="G25" s="2"/>
    </row>
    <row r="26" spans="1:7" ht="15" customHeight="1">
      <c r="A26" s="3" t="s">
        <v>794</v>
      </c>
      <c r="B26" s="3" t="s">
        <v>19</v>
      </c>
      <c r="C26" s="3">
        <v>4</v>
      </c>
      <c r="D26" s="3" t="s">
        <v>10</v>
      </c>
      <c r="E26" s="3" t="s">
        <v>11</v>
      </c>
      <c r="F26" s="3">
        <v>228</v>
      </c>
      <c r="G26" s="3"/>
    </row>
    <row r="27" spans="1:7" ht="15" customHeight="1">
      <c r="A27" s="2" t="s">
        <v>795</v>
      </c>
      <c r="B27" s="2" t="s">
        <v>21</v>
      </c>
      <c r="C27" s="2">
        <v>4</v>
      </c>
      <c r="D27" s="2" t="s">
        <v>10</v>
      </c>
      <c r="E27" s="2" t="s">
        <v>11</v>
      </c>
      <c r="F27" s="2">
        <v>199</v>
      </c>
      <c r="G27" s="2"/>
    </row>
    <row r="28" spans="1:7" ht="15" customHeight="1">
      <c r="A28" s="3" t="s">
        <v>796</v>
      </c>
      <c r="B28" s="3" t="s">
        <v>23</v>
      </c>
      <c r="C28" s="3">
        <v>4</v>
      </c>
      <c r="D28" s="3" t="s">
        <v>10</v>
      </c>
      <c r="E28" s="3" t="s">
        <v>11</v>
      </c>
      <c r="F28" s="3">
        <v>253</v>
      </c>
      <c r="G28" s="3"/>
    </row>
    <row r="29" spans="1:7" ht="15" customHeight="1">
      <c r="A29" s="2" t="s">
        <v>797</v>
      </c>
      <c r="B29" s="2" t="s">
        <v>9</v>
      </c>
      <c r="C29" s="2">
        <v>4</v>
      </c>
      <c r="D29" s="2" t="s">
        <v>10</v>
      </c>
      <c r="E29" s="2" t="s">
        <v>11</v>
      </c>
      <c r="F29" s="2">
        <v>191</v>
      </c>
      <c r="G29" s="2"/>
    </row>
    <row r="30" spans="1:7" ht="15" customHeight="1">
      <c r="A30" s="3" t="s">
        <v>798</v>
      </c>
      <c r="B30" s="3" t="s">
        <v>13</v>
      </c>
      <c r="C30" s="3">
        <v>4</v>
      </c>
      <c r="D30" s="3" t="s">
        <v>10</v>
      </c>
      <c r="E30" s="3" t="s">
        <v>11</v>
      </c>
      <c r="F30" s="3">
        <v>187</v>
      </c>
      <c r="G30" s="3"/>
    </row>
    <row r="31" spans="1:7" ht="15" customHeight="1">
      <c r="A31" s="2" t="s">
        <v>799</v>
      </c>
      <c r="B31" s="2" t="s">
        <v>15</v>
      </c>
      <c r="C31" s="2">
        <v>5</v>
      </c>
      <c r="D31" s="2" t="s">
        <v>10</v>
      </c>
      <c r="E31" s="2" t="s">
        <v>11</v>
      </c>
      <c r="F31" s="2">
        <v>202</v>
      </c>
      <c r="G31" s="2"/>
    </row>
    <row r="32" spans="1:7" ht="15" customHeight="1">
      <c r="A32" s="3" t="s">
        <v>800</v>
      </c>
      <c r="B32" s="3" t="s">
        <v>17</v>
      </c>
      <c r="C32" s="3">
        <v>5</v>
      </c>
      <c r="D32" s="3" t="s">
        <v>10</v>
      </c>
      <c r="E32" s="3" t="s">
        <v>11</v>
      </c>
      <c r="F32" s="3">
        <v>225</v>
      </c>
      <c r="G32" s="3"/>
    </row>
    <row r="33" spans="1:7" ht="15" customHeight="1">
      <c r="A33" s="2" t="s">
        <v>801</v>
      </c>
      <c r="B33" s="2" t="s">
        <v>19</v>
      </c>
      <c r="C33" s="2">
        <v>5</v>
      </c>
      <c r="D33" s="2" t="s">
        <v>10</v>
      </c>
      <c r="E33" s="2" t="s">
        <v>11</v>
      </c>
      <c r="F33" s="2">
        <v>207</v>
      </c>
      <c r="G33" s="2"/>
    </row>
    <row r="34" spans="1:7" ht="15" customHeight="1">
      <c r="A34" s="3" t="s">
        <v>802</v>
      </c>
      <c r="B34" s="3" t="s">
        <v>21</v>
      </c>
      <c r="C34" s="3">
        <v>5</v>
      </c>
      <c r="D34" s="3" t="s">
        <v>49</v>
      </c>
      <c r="E34" s="3" t="s">
        <v>11</v>
      </c>
      <c r="F34" s="3">
        <v>218</v>
      </c>
      <c r="G34" s="3"/>
    </row>
    <row r="35" spans="1:7" ht="15" customHeight="1">
      <c r="A35" s="2" t="s">
        <v>803</v>
      </c>
      <c r="B35" s="2" t="s">
        <v>23</v>
      </c>
      <c r="C35" s="2">
        <v>5</v>
      </c>
      <c r="D35" s="2" t="s">
        <v>49</v>
      </c>
      <c r="E35" s="2" t="s">
        <v>11</v>
      </c>
      <c r="F35" s="2">
        <v>255</v>
      </c>
      <c r="G35" s="2"/>
    </row>
    <row r="36" spans="1:7" ht="15" customHeight="1">
      <c r="A36" s="3" t="s">
        <v>804</v>
      </c>
      <c r="B36" s="3" t="s">
        <v>9</v>
      </c>
      <c r="C36" s="3">
        <v>5</v>
      </c>
      <c r="D36" s="3" t="s">
        <v>49</v>
      </c>
      <c r="E36" s="3" t="s">
        <v>11</v>
      </c>
      <c r="F36" s="3">
        <v>185</v>
      </c>
      <c r="G36" s="3"/>
    </row>
    <row r="37" spans="1:7" ht="15" customHeight="1">
      <c r="A37" s="2" t="s">
        <v>805</v>
      </c>
      <c r="B37" s="2" t="s">
        <v>13</v>
      </c>
      <c r="C37" s="2">
        <v>5</v>
      </c>
      <c r="D37" s="2" t="s">
        <v>49</v>
      </c>
      <c r="E37" s="2" t="s">
        <v>11</v>
      </c>
      <c r="F37" s="2">
        <v>204</v>
      </c>
      <c r="G37" s="2"/>
    </row>
    <row r="38" spans="1:7" ht="15" customHeight="1">
      <c r="A38" s="3" t="s">
        <v>806</v>
      </c>
      <c r="B38" s="3" t="s">
        <v>15</v>
      </c>
      <c r="C38" s="3">
        <v>6</v>
      </c>
      <c r="D38" s="3" t="s">
        <v>49</v>
      </c>
      <c r="E38" s="3" t="s">
        <v>11</v>
      </c>
      <c r="F38" s="3">
        <v>207</v>
      </c>
      <c r="G38" s="3"/>
    </row>
    <row r="39" spans="1:7" ht="15" customHeight="1">
      <c r="A39" s="2" t="s">
        <v>807</v>
      </c>
      <c r="B39" s="2" t="s">
        <v>17</v>
      </c>
      <c r="C39" s="2">
        <v>6</v>
      </c>
      <c r="D39" s="2" t="s">
        <v>49</v>
      </c>
      <c r="E39" s="2" t="s">
        <v>11</v>
      </c>
      <c r="F39" s="2">
        <v>218</v>
      </c>
      <c r="G39" s="2"/>
    </row>
    <row r="40" spans="1:7" ht="15" customHeight="1">
      <c r="A40" s="3" t="s">
        <v>808</v>
      </c>
      <c r="B40" s="3" t="s">
        <v>19</v>
      </c>
      <c r="C40" s="3">
        <v>6</v>
      </c>
      <c r="D40" s="3" t="s">
        <v>49</v>
      </c>
      <c r="E40" s="3" t="s">
        <v>11</v>
      </c>
      <c r="F40" s="3">
        <v>245</v>
      </c>
      <c r="G40" s="3"/>
    </row>
    <row r="41" spans="1:7" ht="15" customHeight="1">
      <c r="A41" s="2" t="s">
        <v>809</v>
      </c>
      <c r="B41" s="2" t="s">
        <v>21</v>
      </c>
      <c r="C41" s="2">
        <v>6</v>
      </c>
      <c r="D41" s="2" t="s">
        <v>49</v>
      </c>
      <c r="E41" s="2" t="s">
        <v>11</v>
      </c>
      <c r="F41" s="2">
        <v>210</v>
      </c>
      <c r="G41" s="2"/>
    </row>
    <row r="42" spans="1:7" ht="15" customHeight="1">
      <c r="A42" s="3" t="s">
        <v>810</v>
      </c>
      <c r="B42" s="3" t="s">
        <v>23</v>
      </c>
      <c r="C42" s="3">
        <v>6</v>
      </c>
      <c r="D42" s="3" t="s">
        <v>49</v>
      </c>
      <c r="E42" s="3" t="s">
        <v>11</v>
      </c>
      <c r="F42" s="3">
        <v>247</v>
      </c>
      <c r="G42" s="3"/>
    </row>
    <row r="43" spans="1:7" ht="15" customHeight="1">
      <c r="A43" s="2" t="s">
        <v>811</v>
      </c>
      <c r="B43" s="2" t="s">
        <v>9</v>
      </c>
      <c r="C43" s="2">
        <v>6</v>
      </c>
      <c r="D43" s="2" t="s">
        <v>49</v>
      </c>
      <c r="E43" s="2" t="s">
        <v>11</v>
      </c>
      <c r="F43" s="2">
        <v>201</v>
      </c>
      <c r="G43" s="2"/>
    </row>
    <row r="44" spans="1:7" ht="15" customHeight="1">
      <c r="A44" s="3" t="s">
        <v>812</v>
      </c>
      <c r="B44" s="3" t="s">
        <v>13</v>
      </c>
      <c r="C44" s="3">
        <v>6</v>
      </c>
      <c r="D44" s="3" t="s">
        <v>49</v>
      </c>
      <c r="E44" s="3" t="s">
        <v>11</v>
      </c>
      <c r="F44" s="3">
        <v>182</v>
      </c>
      <c r="G44" s="3"/>
    </row>
    <row r="45" spans="1:7" ht="15" customHeight="1">
      <c r="A45" s="2" t="s">
        <v>813</v>
      </c>
      <c r="B45" s="2" t="s">
        <v>15</v>
      </c>
      <c r="C45" s="2">
        <v>7</v>
      </c>
      <c r="D45" s="2" t="s">
        <v>49</v>
      </c>
      <c r="E45" s="2" t="s">
        <v>11</v>
      </c>
      <c r="F45" s="2">
        <v>231</v>
      </c>
      <c r="G45" s="2"/>
    </row>
    <row r="46" spans="1:7" ht="15" customHeight="1">
      <c r="A46" s="3" t="s">
        <v>814</v>
      </c>
      <c r="B46" s="3" t="s">
        <v>17</v>
      </c>
      <c r="C46" s="3">
        <v>7</v>
      </c>
      <c r="D46" s="3" t="s">
        <v>49</v>
      </c>
      <c r="E46" s="3" t="s">
        <v>11</v>
      </c>
      <c r="F46" s="3">
        <v>236</v>
      </c>
      <c r="G46" s="3"/>
    </row>
    <row r="47" spans="1:7" ht="15" customHeight="1">
      <c r="A47" s="2" t="s">
        <v>815</v>
      </c>
      <c r="B47" s="2" t="s">
        <v>19</v>
      </c>
      <c r="C47" s="2">
        <v>7</v>
      </c>
      <c r="D47" s="2" t="s">
        <v>49</v>
      </c>
      <c r="E47" s="2" t="s">
        <v>11</v>
      </c>
      <c r="F47" s="2">
        <v>231</v>
      </c>
      <c r="G47" s="2"/>
    </row>
    <row r="48" spans="1:7" ht="15" customHeight="1">
      <c r="A48" s="3" t="s">
        <v>816</v>
      </c>
      <c r="B48" s="3" t="s">
        <v>21</v>
      </c>
      <c r="C48" s="3">
        <v>7</v>
      </c>
      <c r="D48" s="3" t="s">
        <v>49</v>
      </c>
      <c r="E48" s="3" t="s">
        <v>11</v>
      </c>
      <c r="F48" s="3">
        <v>199</v>
      </c>
      <c r="G48" s="3"/>
    </row>
    <row r="49" spans="1:7" ht="15" customHeight="1">
      <c r="A49" s="2" t="s">
        <v>817</v>
      </c>
      <c r="B49" s="2" t="s">
        <v>23</v>
      </c>
      <c r="C49" s="2">
        <v>7</v>
      </c>
      <c r="D49" s="2" t="s">
        <v>49</v>
      </c>
      <c r="E49" s="2" t="s">
        <v>11</v>
      </c>
      <c r="F49" s="2">
        <v>212</v>
      </c>
      <c r="G49" s="2"/>
    </row>
    <row r="50" spans="1:7" ht="15" customHeight="1">
      <c r="A50" s="3" t="s">
        <v>818</v>
      </c>
      <c r="B50" s="3" t="s">
        <v>9</v>
      </c>
      <c r="C50" s="3">
        <v>7</v>
      </c>
      <c r="D50" s="3" t="s">
        <v>49</v>
      </c>
      <c r="E50" s="3" t="s">
        <v>11</v>
      </c>
      <c r="F50" s="3">
        <v>190</v>
      </c>
      <c r="G50" s="3"/>
    </row>
    <row r="51" spans="1:7" ht="15" customHeight="1">
      <c r="A51" s="2" t="s">
        <v>819</v>
      </c>
      <c r="B51" s="2" t="s">
        <v>13</v>
      </c>
      <c r="C51" s="2">
        <v>7</v>
      </c>
      <c r="D51" s="2" t="s">
        <v>49</v>
      </c>
      <c r="E51" s="2" t="s">
        <v>11</v>
      </c>
      <c r="F51" s="2">
        <v>193</v>
      </c>
      <c r="G51" s="2"/>
    </row>
    <row r="52" spans="1:7" ht="15" customHeight="1">
      <c r="A52" s="3" t="s">
        <v>820</v>
      </c>
      <c r="B52" s="3" t="s">
        <v>15</v>
      </c>
      <c r="C52" s="3">
        <v>8</v>
      </c>
      <c r="D52" s="3" t="s">
        <v>49</v>
      </c>
      <c r="E52" s="3" t="s">
        <v>11</v>
      </c>
      <c r="F52" s="3">
        <v>234</v>
      </c>
      <c r="G52" s="3"/>
    </row>
    <row r="53" spans="1:7" ht="15" customHeight="1">
      <c r="A53" s="2" t="s">
        <v>821</v>
      </c>
      <c r="B53" s="2" t="s">
        <v>17</v>
      </c>
      <c r="C53" s="2">
        <v>8</v>
      </c>
      <c r="D53" s="2" t="s">
        <v>49</v>
      </c>
      <c r="E53" s="2" t="s">
        <v>11</v>
      </c>
      <c r="F53" s="2">
        <v>228</v>
      </c>
      <c r="G53" s="2"/>
    </row>
    <row r="54" spans="1:7" ht="15" customHeight="1">
      <c r="A54" s="3" t="s">
        <v>822</v>
      </c>
      <c r="B54" s="3" t="s">
        <v>19</v>
      </c>
      <c r="C54" s="3">
        <v>8</v>
      </c>
      <c r="D54" s="3" t="s">
        <v>49</v>
      </c>
      <c r="E54" s="3" t="s">
        <v>11</v>
      </c>
      <c r="F54" s="3">
        <v>206</v>
      </c>
      <c r="G54" s="3"/>
    </row>
    <row r="55" spans="1:7" ht="15" customHeight="1">
      <c r="A55" s="2" t="s">
        <v>823</v>
      </c>
      <c r="B55" s="2" t="s">
        <v>21</v>
      </c>
      <c r="C55" s="2">
        <v>8</v>
      </c>
      <c r="D55" s="2" t="s">
        <v>49</v>
      </c>
      <c r="E55" s="2" t="s">
        <v>11</v>
      </c>
      <c r="F55" s="2">
        <v>232</v>
      </c>
      <c r="G55" s="2"/>
    </row>
    <row r="56" spans="1:7" ht="15" customHeight="1">
      <c r="A56" s="3" t="s">
        <v>824</v>
      </c>
      <c r="B56" s="3" t="s">
        <v>23</v>
      </c>
      <c r="C56" s="3">
        <v>8</v>
      </c>
      <c r="D56" s="3" t="s">
        <v>49</v>
      </c>
      <c r="E56" s="3" t="s">
        <v>11</v>
      </c>
      <c r="F56" s="3">
        <v>236</v>
      </c>
      <c r="G56" s="3"/>
    </row>
    <row r="57" spans="1:7" ht="15" customHeight="1">
      <c r="A57" s="2" t="s">
        <v>825</v>
      </c>
      <c r="B57" s="2" t="s">
        <v>9</v>
      </c>
      <c r="C57" s="2">
        <v>8</v>
      </c>
      <c r="D57" s="2" t="s">
        <v>49</v>
      </c>
      <c r="E57" s="2" t="s">
        <v>11</v>
      </c>
      <c r="F57" s="2">
        <v>206</v>
      </c>
      <c r="G57" s="2"/>
    </row>
    <row r="58" spans="1:7" ht="15" customHeight="1">
      <c r="A58" s="3" t="s">
        <v>826</v>
      </c>
      <c r="B58" s="3" t="s">
        <v>13</v>
      </c>
      <c r="C58" s="3">
        <v>8</v>
      </c>
      <c r="D58" s="3" t="s">
        <v>49</v>
      </c>
      <c r="E58" s="3" t="s">
        <v>11</v>
      </c>
      <c r="F58" s="3">
        <v>214</v>
      </c>
      <c r="G58" s="3"/>
    </row>
    <row r="59" spans="1:7" ht="15" customHeight="1">
      <c r="A59" s="2" t="s">
        <v>827</v>
      </c>
      <c r="B59" s="2" t="s">
        <v>15</v>
      </c>
      <c r="C59" s="2">
        <v>9</v>
      </c>
      <c r="D59" s="2" t="s">
        <v>49</v>
      </c>
      <c r="E59" s="2" t="s">
        <v>11</v>
      </c>
      <c r="F59" s="2">
        <v>241</v>
      </c>
      <c r="G59" s="2"/>
    </row>
    <row r="60" spans="1:7" ht="15" customHeight="1">
      <c r="A60" s="3" t="s">
        <v>828</v>
      </c>
      <c r="B60" s="3" t="s">
        <v>17</v>
      </c>
      <c r="C60" s="3">
        <v>9</v>
      </c>
      <c r="D60" s="3" t="s">
        <v>49</v>
      </c>
      <c r="E60" s="3" t="s">
        <v>11</v>
      </c>
      <c r="F60" s="3">
        <v>236</v>
      </c>
      <c r="G60" s="3"/>
    </row>
    <row r="61" spans="1:7" ht="15" customHeight="1">
      <c r="A61" s="2" t="s">
        <v>829</v>
      </c>
      <c r="B61" s="2" t="s">
        <v>19</v>
      </c>
      <c r="C61" s="2">
        <v>9</v>
      </c>
      <c r="D61" s="2" t="s">
        <v>49</v>
      </c>
      <c r="E61" s="2" t="s">
        <v>11</v>
      </c>
      <c r="F61" s="2">
        <v>229</v>
      </c>
      <c r="G61" s="2"/>
    </row>
    <row r="62" spans="1:7" ht="15" customHeight="1">
      <c r="A62" s="3" t="s">
        <v>830</v>
      </c>
      <c r="B62" s="3" t="s">
        <v>21</v>
      </c>
      <c r="C62" s="3">
        <v>9</v>
      </c>
      <c r="D62" s="3" t="s">
        <v>49</v>
      </c>
      <c r="E62" s="3" t="s">
        <v>11</v>
      </c>
      <c r="F62" s="3">
        <v>205</v>
      </c>
      <c r="G62" s="3"/>
    </row>
    <row r="63" spans="1:7" ht="15" customHeight="1">
      <c r="A63" s="2" t="s">
        <v>831</v>
      </c>
      <c r="B63" s="2" t="s">
        <v>23</v>
      </c>
      <c r="C63" s="2">
        <v>9</v>
      </c>
      <c r="D63" s="2" t="s">
        <v>78</v>
      </c>
      <c r="E63" s="2" t="s">
        <v>11</v>
      </c>
      <c r="F63" s="2">
        <v>237</v>
      </c>
      <c r="G63" s="2"/>
    </row>
    <row r="64" spans="1:7" ht="15" customHeight="1">
      <c r="A64" s="3" t="s">
        <v>832</v>
      </c>
      <c r="B64" s="3" t="s">
        <v>9</v>
      </c>
      <c r="C64" s="3">
        <v>9</v>
      </c>
      <c r="D64" s="3" t="s">
        <v>78</v>
      </c>
      <c r="E64" s="3" t="s">
        <v>11</v>
      </c>
      <c r="F64" s="3">
        <v>205</v>
      </c>
      <c r="G64" s="3"/>
    </row>
    <row r="65" spans="1:7" ht="15" customHeight="1">
      <c r="A65" s="2" t="s">
        <v>833</v>
      </c>
      <c r="B65" s="2" t="s">
        <v>13</v>
      </c>
      <c r="C65" s="2">
        <v>9</v>
      </c>
      <c r="D65" s="2" t="s">
        <v>78</v>
      </c>
      <c r="E65" s="2" t="s">
        <v>11</v>
      </c>
      <c r="F65" s="2">
        <v>206</v>
      </c>
      <c r="G65" s="2"/>
    </row>
    <row r="66" spans="1:7" ht="15" customHeight="1">
      <c r="A66" s="3" t="s">
        <v>834</v>
      </c>
      <c r="B66" s="3" t="s">
        <v>15</v>
      </c>
      <c r="C66" s="3">
        <v>10</v>
      </c>
      <c r="D66" s="3" t="s">
        <v>78</v>
      </c>
      <c r="E66" s="3" t="s">
        <v>11</v>
      </c>
      <c r="F66" s="3">
        <v>214</v>
      </c>
      <c r="G66" s="3"/>
    </row>
    <row r="67" spans="1:7" ht="15" customHeight="1">
      <c r="A67" s="2" t="s">
        <v>835</v>
      </c>
      <c r="B67" s="2" t="s">
        <v>17</v>
      </c>
      <c r="C67" s="2">
        <v>10</v>
      </c>
      <c r="D67" s="2" t="s">
        <v>78</v>
      </c>
      <c r="E67" s="2" t="s">
        <v>11</v>
      </c>
      <c r="F67" s="2">
        <v>217</v>
      </c>
      <c r="G67" s="2"/>
    </row>
    <row r="68" spans="1:7" ht="15" customHeight="1">
      <c r="A68" s="3" t="s">
        <v>836</v>
      </c>
      <c r="B68" s="3" t="s">
        <v>19</v>
      </c>
      <c r="C68" s="3">
        <v>10</v>
      </c>
      <c r="D68" s="3" t="s">
        <v>78</v>
      </c>
      <c r="E68" s="3" t="s">
        <v>11</v>
      </c>
      <c r="F68" s="3">
        <v>250</v>
      </c>
      <c r="G68" s="3"/>
    </row>
    <row r="69" spans="1:7" ht="15" customHeight="1">
      <c r="A69" s="2" t="s">
        <v>837</v>
      </c>
      <c r="B69" s="2" t="s">
        <v>21</v>
      </c>
      <c r="C69" s="2">
        <v>10</v>
      </c>
      <c r="D69" s="2" t="s">
        <v>78</v>
      </c>
      <c r="E69" s="2" t="s">
        <v>11</v>
      </c>
      <c r="F69" s="2">
        <v>234</v>
      </c>
      <c r="G69" s="2"/>
    </row>
    <row r="70" spans="1:7" ht="15" customHeight="1">
      <c r="A70" s="3" t="s">
        <v>838</v>
      </c>
      <c r="B70" s="3" t="s">
        <v>23</v>
      </c>
      <c r="C70" s="3">
        <v>10</v>
      </c>
      <c r="D70" s="3" t="s">
        <v>78</v>
      </c>
      <c r="E70" s="3" t="s">
        <v>11</v>
      </c>
      <c r="F70" s="3">
        <v>245</v>
      </c>
      <c r="G70" s="3"/>
    </row>
    <row r="71" spans="1:7" ht="15" customHeight="1">
      <c r="A71" s="2" t="s">
        <v>839</v>
      </c>
      <c r="B71" s="2" t="s">
        <v>9</v>
      </c>
      <c r="C71" s="2">
        <v>10</v>
      </c>
      <c r="D71" s="2" t="s">
        <v>78</v>
      </c>
      <c r="E71" s="2" t="s">
        <v>11</v>
      </c>
      <c r="F71" s="2">
        <v>206</v>
      </c>
      <c r="G71" s="2"/>
    </row>
    <row r="72" spans="1:7" ht="15" customHeight="1">
      <c r="A72" s="3" t="s">
        <v>840</v>
      </c>
      <c r="B72" s="3" t="s">
        <v>13</v>
      </c>
      <c r="C72" s="3">
        <v>10</v>
      </c>
      <c r="D72" s="3" t="s">
        <v>78</v>
      </c>
      <c r="E72" s="3" t="s">
        <v>11</v>
      </c>
      <c r="F72" s="3">
        <v>207</v>
      </c>
      <c r="G72" s="3"/>
    </row>
    <row r="73" spans="1:7" ht="15" customHeight="1">
      <c r="A73" s="2" t="s">
        <v>841</v>
      </c>
      <c r="B73" s="2" t="s">
        <v>15</v>
      </c>
      <c r="C73" s="2">
        <v>11</v>
      </c>
      <c r="D73" s="2" t="s">
        <v>78</v>
      </c>
      <c r="E73" s="2" t="s">
        <v>11</v>
      </c>
      <c r="F73" s="2">
        <v>251</v>
      </c>
      <c r="G73" s="2"/>
    </row>
    <row r="74" spans="1:7" ht="15" customHeight="1">
      <c r="A74" s="3" t="s">
        <v>842</v>
      </c>
      <c r="B74" s="3" t="s">
        <v>17</v>
      </c>
      <c r="C74" s="3">
        <v>11</v>
      </c>
      <c r="D74" s="3" t="s">
        <v>78</v>
      </c>
      <c r="E74" s="3" t="s">
        <v>11</v>
      </c>
      <c r="F74" s="3">
        <v>230</v>
      </c>
      <c r="G74" s="3"/>
    </row>
    <row r="75" spans="1:7" ht="15" customHeight="1">
      <c r="A75" s="2" t="s">
        <v>843</v>
      </c>
      <c r="B75" s="2" t="s">
        <v>19</v>
      </c>
      <c r="C75" s="2">
        <v>11</v>
      </c>
      <c r="D75" s="2" t="s">
        <v>78</v>
      </c>
      <c r="E75" s="2" t="s">
        <v>11</v>
      </c>
      <c r="F75" s="2">
        <v>239</v>
      </c>
      <c r="G75" s="2"/>
    </row>
    <row r="76" spans="1:7" ht="15" customHeight="1">
      <c r="A76" s="3" t="s">
        <v>844</v>
      </c>
      <c r="B76" s="3" t="s">
        <v>21</v>
      </c>
      <c r="C76" s="3">
        <v>11</v>
      </c>
      <c r="D76" s="3" t="s">
        <v>78</v>
      </c>
      <c r="E76" s="3" t="s">
        <v>11</v>
      </c>
      <c r="F76" s="3">
        <v>232</v>
      </c>
      <c r="G76" s="3"/>
    </row>
    <row r="77" spans="1:7" ht="15" customHeight="1">
      <c r="A77" s="2" t="s">
        <v>845</v>
      </c>
      <c r="B77" s="2" t="s">
        <v>23</v>
      </c>
      <c r="C77" s="2">
        <v>11</v>
      </c>
      <c r="D77" s="2" t="s">
        <v>78</v>
      </c>
      <c r="E77" s="2" t="s">
        <v>11</v>
      </c>
      <c r="F77" s="2">
        <v>233</v>
      </c>
      <c r="G77" s="2"/>
    </row>
    <row r="78" spans="1:7" ht="15" customHeight="1">
      <c r="A78" s="3" t="s">
        <v>846</v>
      </c>
      <c r="B78" s="3" t="s">
        <v>9</v>
      </c>
      <c r="C78" s="3">
        <v>11</v>
      </c>
      <c r="D78" s="3" t="s">
        <v>78</v>
      </c>
      <c r="E78" s="3" t="s">
        <v>11</v>
      </c>
      <c r="F78" s="3">
        <v>205</v>
      </c>
      <c r="G78" s="3"/>
    </row>
    <row r="79" spans="1:7" ht="15" customHeight="1">
      <c r="A79" s="2" t="s">
        <v>847</v>
      </c>
      <c r="B79" s="2" t="s">
        <v>13</v>
      </c>
      <c r="C79" s="2">
        <v>11</v>
      </c>
      <c r="D79" s="2" t="s">
        <v>78</v>
      </c>
      <c r="E79" s="2" t="s">
        <v>11</v>
      </c>
      <c r="F79" s="2">
        <v>214</v>
      </c>
      <c r="G79" s="2"/>
    </row>
    <row r="80" spans="1:7" ht="15" customHeight="1">
      <c r="A80" s="3" t="s">
        <v>848</v>
      </c>
      <c r="B80" s="3" t="s">
        <v>15</v>
      </c>
      <c r="C80" s="3">
        <v>12</v>
      </c>
      <c r="D80" s="3" t="s">
        <v>78</v>
      </c>
      <c r="E80" s="3" t="s">
        <v>11</v>
      </c>
      <c r="F80" s="3">
        <v>234</v>
      </c>
      <c r="G80" s="3"/>
    </row>
    <row r="81" spans="1:7" ht="15" customHeight="1">
      <c r="A81" s="2" t="s">
        <v>849</v>
      </c>
      <c r="B81" s="2" t="s">
        <v>17</v>
      </c>
      <c r="C81" s="2">
        <v>12</v>
      </c>
      <c r="D81" s="2" t="s">
        <v>78</v>
      </c>
      <c r="E81" s="2" t="s">
        <v>11</v>
      </c>
      <c r="F81" s="2">
        <v>261</v>
      </c>
      <c r="G81" s="2"/>
    </row>
    <row r="82" spans="1:7" ht="15" customHeight="1">
      <c r="A82" s="3" t="s">
        <v>850</v>
      </c>
      <c r="B82" s="3" t="s">
        <v>19</v>
      </c>
      <c r="C82" s="3">
        <v>12</v>
      </c>
      <c r="D82" s="3" t="s">
        <v>78</v>
      </c>
      <c r="E82" s="3" t="s">
        <v>11</v>
      </c>
      <c r="F82" s="3">
        <v>229</v>
      </c>
      <c r="G82" s="3"/>
    </row>
    <row r="83" spans="1:7" ht="15" customHeight="1">
      <c r="A83" s="2" t="s">
        <v>851</v>
      </c>
      <c r="B83" s="2" t="s">
        <v>21</v>
      </c>
      <c r="C83" s="2">
        <v>12</v>
      </c>
      <c r="D83" s="2" t="s">
        <v>78</v>
      </c>
      <c r="E83" s="2" t="s">
        <v>11</v>
      </c>
      <c r="F83" s="2">
        <v>240</v>
      </c>
      <c r="G83" s="2"/>
    </row>
    <row r="84" spans="1:7" ht="15" customHeight="1">
      <c r="A84" s="3" t="s">
        <v>852</v>
      </c>
      <c r="B84" s="3" t="s">
        <v>23</v>
      </c>
      <c r="C84" s="3">
        <v>12</v>
      </c>
      <c r="D84" s="3" t="s">
        <v>78</v>
      </c>
      <c r="E84" s="3" t="s">
        <v>11</v>
      </c>
      <c r="F84" s="3">
        <v>237</v>
      </c>
      <c r="G84" s="3"/>
    </row>
    <row r="85" spans="1:7" ht="15" customHeight="1">
      <c r="A85" s="2" t="s">
        <v>853</v>
      </c>
      <c r="B85" s="2" t="s">
        <v>9</v>
      </c>
      <c r="C85" s="2">
        <v>12</v>
      </c>
      <c r="D85" s="2" t="s">
        <v>78</v>
      </c>
      <c r="E85" s="2" t="s">
        <v>11</v>
      </c>
      <c r="F85" s="2">
        <v>236</v>
      </c>
      <c r="G85" s="2"/>
    </row>
    <row r="86" spans="1:7" ht="15" customHeight="1">
      <c r="A86" s="3" t="s">
        <v>854</v>
      </c>
      <c r="B86" s="3" t="s">
        <v>13</v>
      </c>
      <c r="C86" s="3">
        <v>12</v>
      </c>
      <c r="D86" s="3" t="s">
        <v>78</v>
      </c>
      <c r="E86" s="3" t="s">
        <v>11</v>
      </c>
      <c r="F86" s="3">
        <v>218</v>
      </c>
      <c r="G86" s="3"/>
    </row>
    <row r="87" spans="1:7" ht="15" customHeight="1">
      <c r="A87" s="2" t="s">
        <v>855</v>
      </c>
      <c r="B87" s="2" t="s">
        <v>15</v>
      </c>
      <c r="C87" s="2">
        <v>13</v>
      </c>
      <c r="D87" s="2" t="s">
        <v>78</v>
      </c>
      <c r="E87" s="2" t="s">
        <v>11</v>
      </c>
      <c r="F87" s="2">
        <v>261</v>
      </c>
      <c r="G87" s="2"/>
    </row>
    <row r="88" spans="1:7" ht="15" customHeight="1">
      <c r="A88" s="3" t="s">
        <v>856</v>
      </c>
      <c r="B88" s="3" t="s">
        <v>17</v>
      </c>
      <c r="C88" s="3">
        <v>13</v>
      </c>
      <c r="D88" s="3" t="s">
        <v>78</v>
      </c>
      <c r="E88" s="3" t="s">
        <v>11</v>
      </c>
      <c r="F88" s="3">
        <v>224</v>
      </c>
      <c r="G88" s="3"/>
    </row>
    <row r="89" spans="1:7" ht="15" customHeight="1">
      <c r="A89" s="2" t="s">
        <v>857</v>
      </c>
      <c r="B89" s="2" t="s">
        <v>19</v>
      </c>
      <c r="C89" s="2">
        <v>13</v>
      </c>
      <c r="D89" s="2" t="s">
        <v>78</v>
      </c>
      <c r="E89" s="2" t="s">
        <v>11</v>
      </c>
      <c r="F89" s="2">
        <v>251</v>
      </c>
      <c r="G89" s="2"/>
    </row>
    <row r="90" spans="1:7" ht="15" customHeight="1">
      <c r="A90" s="3" t="s">
        <v>858</v>
      </c>
      <c r="B90" s="3" t="s">
        <v>21</v>
      </c>
      <c r="C90" s="3">
        <v>13</v>
      </c>
      <c r="D90" s="3" t="s">
        <v>78</v>
      </c>
      <c r="E90" s="3" t="s">
        <v>11</v>
      </c>
      <c r="F90" s="3">
        <v>261</v>
      </c>
      <c r="G90" s="3"/>
    </row>
    <row r="91" spans="1:7" ht="15" customHeight="1">
      <c r="A91" s="2" t="s">
        <v>859</v>
      </c>
      <c r="B91" s="2" t="s">
        <v>23</v>
      </c>
      <c r="C91" s="2">
        <v>13</v>
      </c>
      <c r="D91" s="2" t="s">
        <v>78</v>
      </c>
      <c r="E91" s="2" t="s">
        <v>11</v>
      </c>
      <c r="F91" s="2">
        <v>249</v>
      </c>
      <c r="G91" s="2"/>
    </row>
    <row r="92" spans="1:7" ht="15" customHeight="1">
      <c r="A92" s="3" t="s">
        <v>860</v>
      </c>
      <c r="B92" s="3" t="s">
        <v>9</v>
      </c>
      <c r="C92" s="3">
        <v>13</v>
      </c>
      <c r="D92" s="3" t="s">
        <v>78</v>
      </c>
      <c r="E92" s="3" t="s">
        <v>11</v>
      </c>
      <c r="F92" s="3">
        <v>234</v>
      </c>
      <c r="G92" s="3"/>
    </row>
    <row r="93" spans="1:7" ht="15" customHeight="1">
      <c r="A93" s="2" t="s">
        <v>861</v>
      </c>
      <c r="B93" s="2" t="s">
        <v>13</v>
      </c>
      <c r="C93" s="2">
        <v>13</v>
      </c>
      <c r="D93" s="2" t="s">
        <v>78</v>
      </c>
      <c r="E93" s="2" t="s">
        <v>11</v>
      </c>
      <c r="F93" s="2">
        <v>211</v>
      </c>
      <c r="G93" s="2"/>
    </row>
    <row r="94" spans="1:7" ht="15" customHeight="1">
      <c r="A94" s="3" t="s">
        <v>862</v>
      </c>
      <c r="B94" s="3" t="s">
        <v>15</v>
      </c>
      <c r="C94" s="3">
        <v>14</v>
      </c>
      <c r="D94" s="3" t="s">
        <v>110</v>
      </c>
      <c r="E94" s="3" t="s">
        <v>111</v>
      </c>
      <c r="F94" s="3">
        <v>271</v>
      </c>
      <c r="G94" s="3"/>
    </row>
    <row r="95" spans="1:7" ht="15" customHeight="1">
      <c r="A95" s="2" t="s">
        <v>863</v>
      </c>
      <c r="B95" s="2" t="s">
        <v>17</v>
      </c>
      <c r="C95" s="2">
        <v>14</v>
      </c>
      <c r="D95" s="2" t="s">
        <v>110</v>
      </c>
      <c r="E95" s="2" t="s">
        <v>111</v>
      </c>
      <c r="F95" s="2">
        <v>285</v>
      </c>
      <c r="G95" s="2"/>
    </row>
    <row r="96" spans="1:7" ht="15" customHeight="1">
      <c r="A96" s="3" t="s">
        <v>864</v>
      </c>
      <c r="B96" s="3" t="s">
        <v>19</v>
      </c>
      <c r="C96" s="3">
        <v>14</v>
      </c>
      <c r="D96" s="3" t="s">
        <v>110</v>
      </c>
      <c r="E96" s="3" t="s">
        <v>111</v>
      </c>
      <c r="F96" s="3">
        <v>245</v>
      </c>
      <c r="G96" s="3"/>
    </row>
    <row r="97" spans="1:7" ht="15" customHeight="1">
      <c r="A97" s="2" t="s">
        <v>865</v>
      </c>
      <c r="B97" s="2" t="s">
        <v>21</v>
      </c>
      <c r="C97" s="2">
        <v>14</v>
      </c>
      <c r="D97" s="2" t="s">
        <v>110</v>
      </c>
      <c r="E97" s="2" t="s">
        <v>111</v>
      </c>
      <c r="F97" s="2">
        <v>245</v>
      </c>
      <c r="G97" s="2"/>
    </row>
    <row r="98" spans="1:7" ht="15" customHeight="1">
      <c r="A98" s="3" t="s">
        <v>866</v>
      </c>
      <c r="B98" s="3" t="s">
        <v>23</v>
      </c>
      <c r="C98" s="3">
        <v>14</v>
      </c>
      <c r="D98" s="3" t="s">
        <v>110</v>
      </c>
      <c r="E98" s="3" t="s">
        <v>111</v>
      </c>
      <c r="F98" s="3">
        <v>274</v>
      </c>
      <c r="G98" s="3"/>
    </row>
    <row r="99" spans="1:7" ht="15" customHeight="1">
      <c r="A99" s="2" t="s">
        <v>867</v>
      </c>
      <c r="B99" s="2" t="s">
        <v>9</v>
      </c>
      <c r="C99" s="2">
        <v>14</v>
      </c>
      <c r="D99" s="2" t="s">
        <v>110</v>
      </c>
      <c r="E99" s="2" t="s">
        <v>111</v>
      </c>
      <c r="F99" s="2">
        <v>246</v>
      </c>
      <c r="G99" s="2"/>
    </row>
    <row r="100" spans="1:7" ht="15" customHeight="1">
      <c r="A100" s="3" t="s">
        <v>868</v>
      </c>
      <c r="B100" s="3" t="s">
        <v>13</v>
      </c>
      <c r="C100" s="3">
        <v>14</v>
      </c>
      <c r="D100" s="3" t="s">
        <v>110</v>
      </c>
      <c r="E100" s="3" t="s">
        <v>111</v>
      </c>
      <c r="F100" s="3">
        <v>215</v>
      </c>
      <c r="G100" s="3"/>
    </row>
    <row r="101" spans="1:7" ht="15" customHeight="1">
      <c r="A101" s="2" t="s">
        <v>869</v>
      </c>
      <c r="B101" s="2" t="s">
        <v>15</v>
      </c>
      <c r="C101" s="2">
        <v>15</v>
      </c>
      <c r="D101" s="2" t="s">
        <v>110</v>
      </c>
      <c r="E101" s="2" t="s">
        <v>111</v>
      </c>
      <c r="F101" s="2">
        <v>247</v>
      </c>
      <c r="G101" s="2"/>
    </row>
    <row r="102" spans="1:7" ht="15" customHeight="1">
      <c r="A102" s="3" t="s">
        <v>870</v>
      </c>
      <c r="B102" s="3" t="s">
        <v>17</v>
      </c>
      <c r="C102" s="3">
        <v>15</v>
      </c>
      <c r="D102" s="3" t="s">
        <v>110</v>
      </c>
      <c r="E102" s="3" t="s">
        <v>111</v>
      </c>
      <c r="F102" s="3">
        <v>250</v>
      </c>
      <c r="G102" s="3"/>
    </row>
    <row r="103" spans="1:7" ht="15" customHeight="1">
      <c r="A103" s="2" t="s">
        <v>871</v>
      </c>
      <c r="B103" s="2" t="s">
        <v>19</v>
      </c>
      <c r="C103" s="2">
        <v>15</v>
      </c>
      <c r="D103" s="2" t="s">
        <v>110</v>
      </c>
      <c r="E103" s="2" t="s">
        <v>111</v>
      </c>
      <c r="F103" s="2">
        <v>235</v>
      </c>
      <c r="G103" s="2"/>
    </row>
    <row r="104" spans="1:7" ht="15" customHeight="1">
      <c r="A104" s="3" t="s">
        <v>872</v>
      </c>
      <c r="B104" s="3" t="s">
        <v>21</v>
      </c>
      <c r="C104" s="3">
        <v>15</v>
      </c>
      <c r="D104" s="3" t="s">
        <v>110</v>
      </c>
      <c r="E104" s="3" t="s">
        <v>111</v>
      </c>
      <c r="F104" s="3">
        <v>242</v>
      </c>
      <c r="G104" s="3"/>
    </row>
    <row r="105" spans="1:7" ht="15" customHeight="1">
      <c r="A105" s="2" t="s">
        <v>873</v>
      </c>
      <c r="B105" s="2" t="s">
        <v>23</v>
      </c>
      <c r="C105" s="2">
        <v>15</v>
      </c>
      <c r="D105" s="2" t="s">
        <v>110</v>
      </c>
      <c r="E105" s="2" t="s">
        <v>111</v>
      </c>
      <c r="F105" s="2">
        <v>241</v>
      </c>
      <c r="G105" s="2"/>
    </row>
    <row r="106" spans="1:7" ht="15" customHeight="1">
      <c r="A106" s="3" t="s">
        <v>874</v>
      </c>
      <c r="B106" s="3" t="s">
        <v>9</v>
      </c>
      <c r="C106" s="3">
        <v>15</v>
      </c>
      <c r="D106" s="3" t="s">
        <v>110</v>
      </c>
      <c r="E106" s="3" t="s">
        <v>111</v>
      </c>
      <c r="F106" s="3">
        <v>215</v>
      </c>
      <c r="G106" s="3"/>
    </row>
    <row r="107" spans="1:7" ht="15" customHeight="1">
      <c r="A107" s="2" t="s">
        <v>875</v>
      </c>
      <c r="B107" s="2" t="s">
        <v>13</v>
      </c>
      <c r="C107" s="2">
        <v>15</v>
      </c>
      <c r="D107" s="2" t="s">
        <v>110</v>
      </c>
      <c r="E107" s="2" t="s">
        <v>111</v>
      </c>
      <c r="F107" s="2">
        <v>227</v>
      </c>
      <c r="G107" s="2"/>
    </row>
    <row r="108" spans="1:7" ht="15" customHeight="1">
      <c r="A108" s="3" t="s">
        <v>876</v>
      </c>
      <c r="B108" s="3" t="s">
        <v>15</v>
      </c>
      <c r="C108" s="3">
        <v>16</v>
      </c>
      <c r="D108" s="3" t="s">
        <v>110</v>
      </c>
      <c r="E108" s="3" t="s">
        <v>111</v>
      </c>
      <c r="F108" s="3">
        <v>261</v>
      </c>
      <c r="G108" s="3"/>
    </row>
    <row r="109" spans="1:7" ht="15" customHeight="1">
      <c r="A109" s="2" t="s">
        <v>877</v>
      </c>
      <c r="B109" s="2" t="s">
        <v>17</v>
      </c>
      <c r="C109" s="2">
        <v>16</v>
      </c>
      <c r="D109" s="2" t="s">
        <v>110</v>
      </c>
      <c r="E109" s="2" t="s">
        <v>111</v>
      </c>
      <c r="F109" s="2">
        <v>282</v>
      </c>
      <c r="G109" s="2"/>
    </row>
    <row r="110" spans="1:7" ht="15" customHeight="1">
      <c r="A110" s="3" t="s">
        <v>878</v>
      </c>
      <c r="B110" s="3" t="s">
        <v>19</v>
      </c>
      <c r="C110" s="3">
        <v>16</v>
      </c>
      <c r="D110" s="3" t="s">
        <v>110</v>
      </c>
      <c r="E110" s="3" t="s">
        <v>111</v>
      </c>
      <c r="F110" s="3">
        <v>244</v>
      </c>
      <c r="G110" s="3"/>
    </row>
    <row r="111" spans="1:7" ht="15" customHeight="1">
      <c r="A111" s="2" t="s">
        <v>879</v>
      </c>
      <c r="B111" s="2" t="s">
        <v>21</v>
      </c>
      <c r="C111" s="2">
        <v>16</v>
      </c>
      <c r="D111" s="2" t="s">
        <v>110</v>
      </c>
      <c r="E111" s="2" t="s">
        <v>111</v>
      </c>
      <c r="F111" s="2">
        <v>274</v>
      </c>
      <c r="G111" s="2"/>
    </row>
    <row r="112" spans="1:7" ht="15" customHeight="1">
      <c r="A112" s="3" t="s">
        <v>880</v>
      </c>
      <c r="B112" s="3" t="s">
        <v>23</v>
      </c>
      <c r="C112" s="3">
        <v>16</v>
      </c>
      <c r="D112" s="3" t="s">
        <v>110</v>
      </c>
      <c r="E112" s="3" t="s">
        <v>111</v>
      </c>
      <c r="F112" s="3">
        <v>257</v>
      </c>
      <c r="G112" s="3"/>
    </row>
    <row r="113" spans="1:7" ht="15" customHeight="1">
      <c r="A113" s="2" t="s">
        <v>881</v>
      </c>
      <c r="B113" s="2" t="s">
        <v>9</v>
      </c>
      <c r="C113" s="2">
        <v>16</v>
      </c>
      <c r="D113" s="2" t="s">
        <v>110</v>
      </c>
      <c r="E113" s="2" t="s">
        <v>111</v>
      </c>
      <c r="F113" s="2">
        <v>230</v>
      </c>
      <c r="G113" s="2"/>
    </row>
    <row r="114" spans="1:7" ht="15" customHeight="1">
      <c r="A114" s="3" t="s">
        <v>882</v>
      </c>
      <c r="B114" s="3" t="s">
        <v>13</v>
      </c>
      <c r="C114" s="3">
        <v>16</v>
      </c>
      <c r="D114" s="3" t="s">
        <v>110</v>
      </c>
      <c r="E114" s="3" t="s">
        <v>111</v>
      </c>
      <c r="F114" s="3">
        <v>241</v>
      </c>
      <c r="G114" s="3"/>
    </row>
    <row r="115" spans="1:7" ht="15" customHeight="1">
      <c r="A115" s="2" t="s">
        <v>883</v>
      </c>
      <c r="B115" s="2" t="s">
        <v>15</v>
      </c>
      <c r="C115" s="2">
        <v>17</v>
      </c>
      <c r="D115" s="2" t="s">
        <v>110</v>
      </c>
      <c r="E115" s="2" t="s">
        <v>111</v>
      </c>
      <c r="F115" s="2">
        <v>245</v>
      </c>
      <c r="G115" s="2"/>
    </row>
    <row r="116" spans="1:7" ht="15" customHeight="1">
      <c r="A116" s="3" t="s">
        <v>884</v>
      </c>
      <c r="B116" s="3" t="s">
        <v>17</v>
      </c>
      <c r="C116" s="3">
        <v>17</v>
      </c>
      <c r="D116" s="3" t="s">
        <v>110</v>
      </c>
      <c r="E116" s="3" t="s">
        <v>111</v>
      </c>
      <c r="F116" s="3">
        <v>268</v>
      </c>
      <c r="G116" s="3"/>
    </row>
    <row r="117" spans="1:7" ht="15" customHeight="1">
      <c r="A117" s="2" t="s">
        <v>885</v>
      </c>
      <c r="B117" s="2" t="s">
        <v>19</v>
      </c>
      <c r="C117" s="2">
        <v>17</v>
      </c>
      <c r="D117" s="2" t="s">
        <v>110</v>
      </c>
      <c r="E117" s="2" t="s">
        <v>111</v>
      </c>
      <c r="F117" s="2">
        <v>265</v>
      </c>
      <c r="G117" s="2"/>
    </row>
    <row r="118" spans="1:7" ht="15" customHeight="1">
      <c r="A118" s="3" t="s">
        <v>886</v>
      </c>
      <c r="B118" s="3" t="s">
        <v>21</v>
      </c>
      <c r="C118" s="3">
        <v>17</v>
      </c>
      <c r="D118" s="3" t="s">
        <v>110</v>
      </c>
      <c r="E118" s="3" t="s">
        <v>111</v>
      </c>
      <c r="F118" s="3">
        <v>270</v>
      </c>
      <c r="G118" s="3"/>
    </row>
    <row r="119" spans="1:7" ht="15" customHeight="1">
      <c r="A119" s="2" t="s">
        <v>887</v>
      </c>
      <c r="B119" s="2" t="s">
        <v>23</v>
      </c>
      <c r="C119" s="2">
        <v>17</v>
      </c>
      <c r="D119" s="2" t="s">
        <v>110</v>
      </c>
      <c r="E119" s="2" t="s">
        <v>111</v>
      </c>
      <c r="F119" s="2">
        <v>268</v>
      </c>
      <c r="G119" s="2"/>
    </row>
    <row r="120" spans="1:7" ht="15" customHeight="1">
      <c r="A120" s="3" t="s">
        <v>888</v>
      </c>
      <c r="B120" s="3" t="s">
        <v>9</v>
      </c>
      <c r="C120" s="3">
        <v>17</v>
      </c>
      <c r="D120" s="3" t="s">
        <v>110</v>
      </c>
      <c r="E120" s="3" t="s">
        <v>111</v>
      </c>
      <c r="F120" s="3">
        <v>271</v>
      </c>
      <c r="G120" s="3"/>
    </row>
    <row r="121" spans="1:7" ht="15" customHeight="1">
      <c r="A121" s="2" t="s">
        <v>889</v>
      </c>
      <c r="B121" s="2" t="s">
        <v>13</v>
      </c>
      <c r="C121" s="2">
        <v>17</v>
      </c>
      <c r="D121" s="2" t="s">
        <v>110</v>
      </c>
      <c r="E121" s="2" t="s">
        <v>111</v>
      </c>
      <c r="F121" s="2">
        <v>225</v>
      </c>
      <c r="G121" s="2"/>
    </row>
    <row r="122" spans="1:7" ht="15" customHeight="1">
      <c r="A122" s="3" t="s">
        <v>890</v>
      </c>
      <c r="B122" s="3" t="s">
        <v>15</v>
      </c>
      <c r="C122" s="3">
        <v>18</v>
      </c>
      <c r="D122" s="3" t="s">
        <v>110</v>
      </c>
      <c r="E122" s="3" t="s">
        <v>111</v>
      </c>
      <c r="F122" s="3">
        <v>257</v>
      </c>
      <c r="G122" s="3"/>
    </row>
    <row r="123" spans="1:7" ht="15" customHeight="1">
      <c r="A123" s="2" t="s">
        <v>891</v>
      </c>
      <c r="B123" s="2" t="s">
        <v>17</v>
      </c>
      <c r="C123" s="2">
        <v>18</v>
      </c>
      <c r="D123" s="2" t="s">
        <v>110</v>
      </c>
      <c r="E123" s="2" t="s">
        <v>111</v>
      </c>
      <c r="F123" s="2">
        <v>256</v>
      </c>
      <c r="G123" s="2"/>
    </row>
    <row r="124" spans="1:7" ht="15" customHeight="1">
      <c r="A124" s="3" t="s">
        <v>892</v>
      </c>
      <c r="B124" s="3" t="s">
        <v>19</v>
      </c>
      <c r="C124" s="3">
        <v>18</v>
      </c>
      <c r="D124" s="3" t="s">
        <v>142</v>
      </c>
      <c r="E124" s="3" t="s">
        <v>111</v>
      </c>
      <c r="F124" s="3">
        <v>258</v>
      </c>
      <c r="G124" s="3"/>
    </row>
    <row r="125" spans="1:7" ht="15" customHeight="1">
      <c r="A125" s="2" t="s">
        <v>893</v>
      </c>
      <c r="B125" s="2" t="s">
        <v>21</v>
      </c>
      <c r="C125" s="2">
        <v>18</v>
      </c>
      <c r="D125" s="2" t="s">
        <v>142</v>
      </c>
      <c r="E125" s="2" t="s">
        <v>111</v>
      </c>
      <c r="F125" s="2">
        <v>257</v>
      </c>
      <c r="G125" s="2"/>
    </row>
    <row r="126" spans="1:7" ht="15" customHeight="1">
      <c r="A126" s="3" t="s">
        <v>894</v>
      </c>
      <c r="B126" s="3" t="s">
        <v>23</v>
      </c>
      <c r="C126" s="3">
        <v>18</v>
      </c>
      <c r="D126" s="3" t="s">
        <v>142</v>
      </c>
      <c r="E126" s="3" t="s">
        <v>111</v>
      </c>
      <c r="F126" s="3">
        <v>285</v>
      </c>
      <c r="G126" s="3"/>
    </row>
    <row r="127" spans="1:7" ht="15" customHeight="1">
      <c r="A127" s="2" t="s">
        <v>895</v>
      </c>
      <c r="B127" s="2" t="s">
        <v>9</v>
      </c>
      <c r="C127" s="2">
        <v>18</v>
      </c>
      <c r="D127" s="2" t="s">
        <v>142</v>
      </c>
      <c r="E127" s="2" t="s">
        <v>111</v>
      </c>
      <c r="F127" s="2">
        <v>259</v>
      </c>
      <c r="G127" s="2"/>
    </row>
    <row r="128" spans="1:7" ht="15" customHeight="1">
      <c r="A128" s="3" t="s">
        <v>896</v>
      </c>
      <c r="B128" s="3" t="s">
        <v>13</v>
      </c>
      <c r="C128" s="3">
        <v>18</v>
      </c>
      <c r="D128" s="3" t="s">
        <v>142</v>
      </c>
      <c r="E128" s="3" t="s">
        <v>111</v>
      </c>
      <c r="F128" s="3">
        <v>229</v>
      </c>
      <c r="G128" s="3"/>
    </row>
    <row r="129" spans="1:7" ht="15" customHeight="1">
      <c r="A129" s="2" t="s">
        <v>897</v>
      </c>
      <c r="B129" s="2" t="s">
        <v>15</v>
      </c>
      <c r="C129" s="2">
        <v>19</v>
      </c>
      <c r="D129" s="2" t="s">
        <v>142</v>
      </c>
      <c r="E129" s="2" t="s">
        <v>111</v>
      </c>
      <c r="F129" s="2">
        <v>256</v>
      </c>
      <c r="G129" s="2"/>
    </row>
    <row r="130" spans="1:7" ht="15" customHeight="1">
      <c r="A130" s="3" t="s">
        <v>898</v>
      </c>
      <c r="B130" s="3" t="s">
        <v>17</v>
      </c>
      <c r="C130" s="3">
        <v>19</v>
      </c>
      <c r="D130" s="3" t="s">
        <v>142</v>
      </c>
      <c r="E130" s="3" t="s">
        <v>111</v>
      </c>
      <c r="F130" s="3">
        <v>276</v>
      </c>
      <c r="G130" s="3"/>
    </row>
    <row r="131" spans="1:7" ht="15" customHeight="1">
      <c r="A131" s="2" t="s">
        <v>899</v>
      </c>
      <c r="B131" s="2" t="s">
        <v>19</v>
      </c>
      <c r="C131" s="2">
        <v>19</v>
      </c>
      <c r="D131" s="2" t="s">
        <v>142</v>
      </c>
      <c r="E131" s="2" t="s">
        <v>111</v>
      </c>
      <c r="F131" s="2">
        <v>261</v>
      </c>
      <c r="G131" s="2"/>
    </row>
    <row r="132" spans="1:7" ht="15" customHeight="1">
      <c r="A132" s="3" t="s">
        <v>900</v>
      </c>
      <c r="B132" s="3" t="s">
        <v>21</v>
      </c>
      <c r="C132" s="3">
        <v>19</v>
      </c>
      <c r="D132" s="3" t="s">
        <v>142</v>
      </c>
      <c r="E132" s="3" t="s">
        <v>111</v>
      </c>
      <c r="F132" s="3">
        <v>279</v>
      </c>
      <c r="G132" s="3"/>
    </row>
    <row r="133" spans="1:7" ht="15" customHeight="1">
      <c r="A133" s="2" t="s">
        <v>901</v>
      </c>
      <c r="B133" s="2" t="s">
        <v>23</v>
      </c>
      <c r="C133" s="2">
        <v>19</v>
      </c>
      <c r="D133" s="2" t="s">
        <v>142</v>
      </c>
      <c r="E133" s="2" t="s">
        <v>111</v>
      </c>
      <c r="F133" s="2">
        <v>273</v>
      </c>
      <c r="G133" s="2"/>
    </row>
    <row r="134" spans="1:7" ht="15" customHeight="1">
      <c r="A134" s="3" t="s">
        <v>902</v>
      </c>
      <c r="B134" s="3" t="s">
        <v>9</v>
      </c>
      <c r="C134" s="3">
        <v>19</v>
      </c>
      <c r="D134" s="3" t="s">
        <v>142</v>
      </c>
      <c r="E134" s="3" t="s">
        <v>111</v>
      </c>
      <c r="F134" s="3">
        <v>218</v>
      </c>
      <c r="G134" s="3"/>
    </row>
    <row r="135" spans="1:7" ht="15" customHeight="1">
      <c r="A135" s="2" t="s">
        <v>903</v>
      </c>
      <c r="B135" s="2" t="s">
        <v>13</v>
      </c>
      <c r="C135" s="2">
        <v>19</v>
      </c>
      <c r="D135" s="2" t="s">
        <v>142</v>
      </c>
      <c r="E135" s="2" t="s">
        <v>111</v>
      </c>
      <c r="F135" s="2">
        <v>264</v>
      </c>
      <c r="G135" s="2"/>
    </row>
    <row r="136" spans="1:7" ht="15" customHeight="1">
      <c r="A136" s="3" t="s">
        <v>904</v>
      </c>
      <c r="B136" s="3" t="s">
        <v>15</v>
      </c>
      <c r="C136" s="3">
        <v>20</v>
      </c>
      <c r="D136" s="3" t="s">
        <v>142</v>
      </c>
      <c r="E136" s="3" t="s">
        <v>111</v>
      </c>
      <c r="F136" s="3">
        <v>298</v>
      </c>
      <c r="G136" s="3"/>
    </row>
    <row r="137" spans="1:7" ht="15" customHeight="1">
      <c r="A137" s="2" t="s">
        <v>905</v>
      </c>
      <c r="B137" s="2" t="s">
        <v>17</v>
      </c>
      <c r="C137" s="2">
        <v>20</v>
      </c>
      <c r="D137" s="2" t="s">
        <v>142</v>
      </c>
      <c r="E137" s="2" t="s">
        <v>111</v>
      </c>
      <c r="F137" s="2">
        <v>263</v>
      </c>
      <c r="G137" s="2"/>
    </row>
    <row r="138" spans="1:7" ht="15" customHeight="1">
      <c r="A138" s="3" t="s">
        <v>906</v>
      </c>
      <c r="B138" s="3" t="s">
        <v>19</v>
      </c>
      <c r="C138" s="3">
        <v>20</v>
      </c>
      <c r="D138" s="3" t="s">
        <v>142</v>
      </c>
      <c r="E138" s="3" t="s">
        <v>111</v>
      </c>
      <c r="F138" s="3">
        <v>266</v>
      </c>
      <c r="G138" s="3"/>
    </row>
    <row r="139" spans="1:7" ht="15" customHeight="1">
      <c r="A139" s="2" t="s">
        <v>907</v>
      </c>
      <c r="B139" s="2" t="s">
        <v>21</v>
      </c>
      <c r="C139" s="2">
        <v>20</v>
      </c>
      <c r="D139" s="2" t="s">
        <v>142</v>
      </c>
      <c r="E139" s="2" t="s">
        <v>111</v>
      </c>
      <c r="F139" s="2">
        <v>277</v>
      </c>
      <c r="G139" s="2"/>
    </row>
    <row r="140" spans="1:7" ht="15" customHeight="1">
      <c r="A140" s="3" t="s">
        <v>908</v>
      </c>
      <c r="B140" s="3" t="s">
        <v>23</v>
      </c>
      <c r="C140" s="3">
        <v>20</v>
      </c>
      <c r="D140" s="3" t="s">
        <v>142</v>
      </c>
      <c r="E140" s="3" t="s">
        <v>111</v>
      </c>
      <c r="F140" s="3">
        <v>278</v>
      </c>
      <c r="G140" s="3"/>
    </row>
    <row r="141" spans="1:7" ht="15" customHeight="1">
      <c r="A141" s="2" t="s">
        <v>909</v>
      </c>
      <c r="B141" s="2" t="s">
        <v>9</v>
      </c>
      <c r="C141" s="2">
        <v>20</v>
      </c>
      <c r="D141" s="2" t="s">
        <v>142</v>
      </c>
      <c r="E141" s="2" t="s">
        <v>111</v>
      </c>
      <c r="F141" s="2">
        <v>253</v>
      </c>
      <c r="G141" s="2"/>
    </row>
    <row r="142" spans="1:7" ht="15" customHeight="1">
      <c r="A142" s="3" t="s">
        <v>910</v>
      </c>
      <c r="B142" s="3" t="s">
        <v>13</v>
      </c>
      <c r="C142" s="3">
        <v>20</v>
      </c>
      <c r="D142" s="3" t="s">
        <v>142</v>
      </c>
      <c r="E142" s="3" t="s">
        <v>111</v>
      </c>
      <c r="F142" s="3">
        <v>274</v>
      </c>
      <c r="G142" s="3"/>
    </row>
    <row r="143" spans="1:7" ht="15" customHeight="1">
      <c r="A143" s="2" t="s">
        <v>911</v>
      </c>
      <c r="B143" s="2" t="s">
        <v>15</v>
      </c>
      <c r="C143" s="2">
        <v>21</v>
      </c>
      <c r="D143" s="2" t="s">
        <v>142</v>
      </c>
      <c r="E143" s="2" t="s">
        <v>111</v>
      </c>
      <c r="F143" s="2">
        <v>271</v>
      </c>
      <c r="G143" s="2"/>
    </row>
    <row r="144" spans="1:7" ht="15" customHeight="1">
      <c r="A144" s="3" t="s">
        <v>912</v>
      </c>
      <c r="B144" s="3" t="s">
        <v>17</v>
      </c>
      <c r="C144" s="3">
        <v>21</v>
      </c>
      <c r="D144" s="3" t="s">
        <v>142</v>
      </c>
      <c r="E144" s="3" t="s">
        <v>111</v>
      </c>
      <c r="F144" s="3">
        <v>262</v>
      </c>
      <c r="G144" s="3"/>
    </row>
    <row r="145" spans="1:7" ht="15" customHeight="1">
      <c r="A145" s="2" t="s">
        <v>913</v>
      </c>
      <c r="B145" s="2" t="s">
        <v>19</v>
      </c>
      <c r="C145" s="2">
        <v>21</v>
      </c>
      <c r="D145" s="2" t="s">
        <v>142</v>
      </c>
      <c r="E145" s="2" t="s">
        <v>111</v>
      </c>
      <c r="F145" s="2">
        <v>254</v>
      </c>
      <c r="G145" s="2"/>
    </row>
    <row r="146" spans="1:7" ht="15" customHeight="1">
      <c r="A146" s="3" t="s">
        <v>914</v>
      </c>
      <c r="B146" s="3" t="s">
        <v>21</v>
      </c>
      <c r="C146" s="3">
        <v>21</v>
      </c>
      <c r="D146" s="3" t="s">
        <v>142</v>
      </c>
      <c r="E146" s="3" t="s">
        <v>111</v>
      </c>
      <c r="F146" s="3">
        <v>264</v>
      </c>
      <c r="G146" s="3"/>
    </row>
    <row r="147" spans="1:7" ht="15" customHeight="1">
      <c r="A147" s="2" t="s">
        <v>915</v>
      </c>
      <c r="B147" s="2" t="s">
        <v>23</v>
      </c>
      <c r="C147" s="2">
        <v>21</v>
      </c>
      <c r="D147" s="2" t="s">
        <v>142</v>
      </c>
      <c r="E147" s="2" t="s">
        <v>111</v>
      </c>
      <c r="F147" s="2">
        <v>275</v>
      </c>
      <c r="G147" s="2"/>
    </row>
    <row r="148" spans="1:7" ht="15" customHeight="1">
      <c r="A148" s="3" t="s">
        <v>916</v>
      </c>
      <c r="B148" s="3" t="s">
        <v>9</v>
      </c>
      <c r="C148" s="3">
        <v>21</v>
      </c>
      <c r="D148" s="3" t="s">
        <v>142</v>
      </c>
      <c r="E148" s="3" t="s">
        <v>111</v>
      </c>
      <c r="F148" s="3">
        <v>273</v>
      </c>
      <c r="G148" s="3"/>
    </row>
    <row r="149" spans="1:7" ht="15" customHeight="1">
      <c r="A149" s="2" t="s">
        <v>917</v>
      </c>
      <c r="B149" s="2" t="s">
        <v>13</v>
      </c>
      <c r="C149" s="2">
        <v>21</v>
      </c>
      <c r="D149" s="2" t="s">
        <v>142</v>
      </c>
      <c r="E149" s="2" t="s">
        <v>111</v>
      </c>
      <c r="F149" s="2">
        <v>238</v>
      </c>
      <c r="G149" s="2"/>
    </row>
    <row r="150" spans="1:7" ht="15" customHeight="1">
      <c r="A150" s="3" t="s">
        <v>918</v>
      </c>
      <c r="B150" s="3" t="s">
        <v>15</v>
      </c>
      <c r="C150" s="3">
        <v>22</v>
      </c>
      <c r="D150" s="3" t="s">
        <v>142</v>
      </c>
      <c r="E150" s="3" t="s">
        <v>111</v>
      </c>
      <c r="F150" s="3">
        <v>280</v>
      </c>
      <c r="G150" s="3"/>
    </row>
    <row r="151" spans="1:7" ht="15" customHeight="1">
      <c r="A151" s="2" t="s">
        <v>919</v>
      </c>
      <c r="B151" s="2" t="s">
        <v>17</v>
      </c>
      <c r="C151" s="2">
        <v>22</v>
      </c>
      <c r="D151" s="2" t="s">
        <v>142</v>
      </c>
      <c r="E151" s="2" t="s">
        <v>111</v>
      </c>
      <c r="F151" s="2">
        <v>276</v>
      </c>
      <c r="G151" s="2"/>
    </row>
    <row r="152" spans="1:7" ht="15" customHeight="1">
      <c r="A152" s="3" t="s">
        <v>920</v>
      </c>
      <c r="B152" s="3" t="s">
        <v>19</v>
      </c>
      <c r="C152" s="3">
        <v>22</v>
      </c>
      <c r="D152" s="3" t="s">
        <v>142</v>
      </c>
      <c r="E152" s="3" t="s">
        <v>111</v>
      </c>
      <c r="F152" s="3">
        <v>295</v>
      </c>
      <c r="G152" s="3"/>
    </row>
    <row r="153" spans="1:7" ht="15" customHeight="1">
      <c r="A153" s="2" t="s">
        <v>921</v>
      </c>
      <c r="B153" s="2" t="s">
        <v>21</v>
      </c>
      <c r="C153" s="2">
        <v>22</v>
      </c>
      <c r="D153" s="2" t="s">
        <v>142</v>
      </c>
      <c r="E153" s="2" t="s">
        <v>111</v>
      </c>
      <c r="F153" s="2">
        <v>315</v>
      </c>
      <c r="G153" s="2"/>
    </row>
    <row r="154" spans="1:7" ht="15" customHeight="1">
      <c r="A154" s="3" t="s">
        <v>922</v>
      </c>
      <c r="B154" s="3" t="s">
        <v>23</v>
      </c>
      <c r="C154" s="3">
        <v>22</v>
      </c>
      <c r="D154" s="3" t="s">
        <v>142</v>
      </c>
      <c r="E154" s="3" t="s">
        <v>111</v>
      </c>
      <c r="F154" s="3">
        <v>269</v>
      </c>
      <c r="G154" s="3"/>
    </row>
    <row r="155" spans="1:7" ht="15" customHeight="1">
      <c r="A155" s="2" t="s">
        <v>923</v>
      </c>
      <c r="B155" s="2" t="s">
        <v>9</v>
      </c>
      <c r="C155" s="2">
        <v>22</v>
      </c>
      <c r="D155" s="2" t="s">
        <v>174</v>
      </c>
      <c r="E155" s="2" t="s">
        <v>111</v>
      </c>
      <c r="F155" s="2">
        <v>240</v>
      </c>
      <c r="G155" s="2"/>
    </row>
    <row r="156" spans="1:7" ht="15" customHeight="1">
      <c r="A156" s="3" t="s">
        <v>924</v>
      </c>
      <c r="B156" s="3" t="s">
        <v>13</v>
      </c>
      <c r="C156" s="3">
        <v>22</v>
      </c>
      <c r="D156" s="3" t="s">
        <v>174</v>
      </c>
      <c r="E156" s="3" t="s">
        <v>111</v>
      </c>
      <c r="F156" s="3">
        <v>263</v>
      </c>
      <c r="G156" s="3"/>
    </row>
    <row r="157" spans="1:7" ht="15" customHeight="1">
      <c r="A157" s="2" t="s">
        <v>925</v>
      </c>
      <c r="B157" s="2" t="s">
        <v>15</v>
      </c>
      <c r="C157" s="2">
        <v>23</v>
      </c>
      <c r="D157" s="2" t="s">
        <v>174</v>
      </c>
      <c r="E157" s="2" t="s">
        <v>111</v>
      </c>
      <c r="F157" s="2">
        <v>288</v>
      </c>
      <c r="G157" s="2"/>
    </row>
    <row r="158" spans="1:7" ht="15" customHeight="1">
      <c r="A158" s="3" t="s">
        <v>926</v>
      </c>
      <c r="B158" s="3" t="s">
        <v>17</v>
      </c>
      <c r="C158" s="3">
        <v>23</v>
      </c>
      <c r="D158" s="3" t="s">
        <v>174</v>
      </c>
      <c r="E158" s="3" t="s">
        <v>111</v>
      </c>
      <c r="F158" s="3">
        <v>306</v>
      </c>
      <c r="G158" s="3"/>
    </row>
    <row r="159" spans="1:7" ht="15" customHeight="1">
      <c r="A159" s="2" t="s">
        <v>927</v>
      </c>
      <c r="B159" s="2" t="s">
        <v>19</v>
      </c>
      <c r="C159" s="2">
        <v>23</v>
      </c>
      <c r="D159" s="2" t="s">
        <v>174</v>
      </c>
      <c r="E159" s="2" t="s">
        <v>111</v>
      </c>
      <c r="F159" s="2">
        <v>287</v>
      </c>
      <c r="G159" s="2"/>
    </row>
    <row r="160" spans="1:7" ht="15" customHeight="1">
      <c r="A160" s="3" t="s">
        <v>928</v>
      </c>
      <c r="B160" s="3" t="s">
        <v>21</v>
      </c>
      <c r="C160" s="3">
        <v>23</v>
      </c>
      <c r="D160" s="3" t="s">
        <v>174</v>
      </c>
      <c r="E160" s="3" t="s">
        <v>111</v>
      </c>
      <c r="F160" s="3">
        <v>273</v>
      </c>
      <c r="G160" s="3"/>
    </row>
    <row r="161" spans="1:7" ht="15" customHeight="1">
      <c r="A161" s="2" t="s">
        <v>929</v>
      </c>
      <c r="B161" s="2" t="s">
        <v>23</v>
      </c>
      <c r="C161" s="2">
        <v>23</v>
      </c>
      <c r="D161" s="2" t="s">
        <v>174</v>
      </c>
      <c r="E161" s="2" t="s">
        <v>111</v>
      </c>
      <c r="F161" s="2">
        <v>288</v>
      </c>
      <c r="G161" s="2"/>
    </row>
    <row r="162" spans="1:7" ht="15" customHeight="1">
      <c r="A162" s="3" t="s">
        <v>930</v>
      </c>
      <c r="B162" s="3" t="s">
        <v>9</v>
      </c>
      <c r="C162" s="3">
        <v>23</v>
      </c>
      <c r="D162" s="3" t="s">
        <v>174</v>
      </c>
      <c r="E162" s="3" t="s">
        <v>111</v>
      </c>
      <c r="F162" s="3">
        <v>266</v>
      </c>
      <c r="G162" s="3"/>
    </row>
    <row r="163" spans="1:7" ht="15" customHeight="1">
      <c r="A163" s="2" t="s">
        <v>931</v>
      </c>
      <c r="B163" s="2" t="s">
        <v>13</v>
      </c>
      <c r="C163" s="2">
        <v>23</v>
      </c>
      <c r="D163" s="2" t="s">
        <v>174</v>
      </c>
      <c r="E163" s="2" t="s">
        <v>111</v>
      </c>
      <c r="F163" s="2">
        <v>262</v>
      </c>
      <c r="G163" s="2"/>
    </row>
    <row r="164" spans="1:7" ht="15" customHeight="1">
      <c r="A164" s="3" t="s">
        <v>932</v>
      </c>
      <c r="B164" s="3" t="s">
        <v>15</v>
      </c>
      <c r="C164" s="3">
        <v>24</v>
      </c>
      <c r="D164" s="3" t="s">
        <v>174</v>
      </c>
      <c r="E164" s="3" t="s">
        <v>111</v>
      </c>
      <c r="F164" s="3">
        <v>287</v>
      </c>
      <c r="G164" s="3"/>
    </row>
    <row r="165" spans="1:7" ht="15" customHeight="1">
      <c r="A165" s="2" t="s">
        <v>933</v>
      </c>
      <c r="B165" s="2" t="s">
        <v>17</v>
      </c>
      <c r="C165" s="2">
        <v>24</v>
      </c>
      <c r="D165" s="2" t="s">
        <v>174</v>
      </c>
      <c r="E165" s="2" t="s">
        <v>111</v>
      </c>
      <c r="F165" s="2">
        <v>296</v>
      </c>
      <c r="G165" s="2"/>
    </row>
    <row r="166" spans="1:7" ht="15" customHeight="1">
      <c r="A166" s="3" t="s">
        <v>934</v>
      </c>
      <c r="B166" s="3" t="s">
        <v>19</v>
      </c>
      <c r="C166" s="3">
        <v>24</v>
      </c>
      <c r="D166" s="3" t="s">
        <v>174</v>
      </c>
      <c r="E166" s="3" t="s">
        <v>111</v>
      </c>
      <c r="F166" s="3">
        <v>297</v>
      </c>
      <c r="G166" s="3"/>
    </row>
    <row r="167" spans="1:7" ht="15" customHeight="1">
      <c r="A167" s="2" t="s">
        <v>935</v>
      </c>
      <c r="B167" s="2" t="s">
        <v>21</v>
      </c>
      <c r="C167" s="2">
        <v>24</v>
      </c>
      <c r="D167" s="2" t="s">
        <v>174</v>
      </c>
      <c r="E167" s="2" t="s">
        <v>111</v>
      </c>
      <c r="F167" s="2">
        <v>301</v>
      </c>
      <c r="G167" s="2"/>
    </row>
    <row r="168" spans="1:7" ht="15" customHeight="1">
      <c r="A168" s="3" t="s">
        <v>936</v>
      </c>
      <c r="B168" s="3" t="s">
        <v>23</v>
      </c>
      <c r="C168" s="3">
        <v>24</v>
      </c>
      <c r="D168" s="3" t="s">
        <v>174</v>
      </c>
      <c r="E168" s="3" t="s">
        <v>111</v>
      </c>
      <c r="F168" s="3">
        <v>290</v>
      </c>
      <c r="G168" s="3"/>
    </row>
    <row r="169" spans="1:7" ht="15" customHeight="1">
      <c r="A169" s="2" t="s">
        <v>937</v>
      </c>
      <c r="B169" s="2" t="s">
        <v>9</v>
      </c>
      <c r="C169" s="2">
        <v>24</v>
      </c>
      <c r="D169" s="2" t="s">
        <v>174</v>
      </c>
      <c r="E169" s="2" t="s">
        <v>111</v>
      </c>
      <c r="F169" s="2">
        <v>248</v>
      </c>
      <c r="G169" s="2"/>
    </row>
    <row r="170" spans="1:7" ht="15" customHeight="1">
      <c r="A170" s="3" t="s">
        <v>938</v>
      </c>
      <c r="B170" s="3" t="s">
        <v>13</v>
      </c>
      <c r="C170" s="3">
        <v>24</v>
      </c>
      <c r="D170" s="3" t="s">
        <v>174</v>
      </c>
      <c r="E170" s="3" t="s">
        <v>111</v>
      </c>
      <c r="F170" s="3">
        <v>253</v>
      </c>
      <c r="G170" s="3"/>
    </row>
    <row r="171" spans="1:7" ht="15" customHeight="1">
      <c r="A171" s="2" t="s">
        <v>939</v>
      </c>
      <c r="B171" s="2" t="s">
        <v>15</v>
      </c>
      <c r="C171" s="2">
        <v>25</v>
      </c>
      <c r="D171" s="2" t="s">
        <v>174</v>
      </c>
      <c r="E171" s="2" t="s">
        <v>111</v>
      </c>
      <c r="F171" s="2">
        <v>299</v>
      </c>
      <c r="G171" s="2"/>
    </row>
    <row r="172" spans="1:7" ht="15" customHeight="1">
      <c r="A172" s="3" t="s">
        <v>940</v>
      </c>
      <c r="B172" s="3" t="s">
        <v>17</v>
      </c>
      <c r="C172" s="3">
        <v>25</v>
      </c>
      <c r="D172" s="3" t="s">
        <v>174</v>
      </c>
      <c r="E172" s="3" t="s">
        <v>111</v>
      </c>
      <c r="F172" s="3">
        <v>268</v>
      </c>
      <c r="G172" s="3"/>
    </row>
    <row r="173" spans="1:7" ht="15" customHeight="1">
      <c r="A173" s="2" t="s">
        <v>941</v>
      </c>
      <c r="B173" s="2" t="s">
        <v>19</v>
      </c>
      <c r="C173" s="2">
        <v>25</v>
      </c>
      <c r="D173" s="2" t="s">
        <v>174</v>
      </c>
      <c r="E173" s="2" t="s">
        <v>111</v>
      </c>
      <c r="F173" s="2">
        <v>286</v>
      </c>
      <c r="G173" s="2"/>
    </row>
    <row r="174" spans="1:7" ht="15" customHeight="1">
      <c r="A174" s="3" t="s">
        <v>942</v>
      </c>
      <c r="B174" s="3" t="s">
        <v>21</v>
      </c>
      <c r="C174" s="3">
        <v>25</v>
      </c>
      <c r="D174" s="3" t="s">
        <v>174</v>
      </c>
      <c r="E174" s="3" t="s">
        <v>111</v>
      </c>
      <c r="F174" s="3">
        <v>275</v>
      </c>
      <c r="G174" s="3"/>
    </row>
    <row r="175" spans="1:7" ht="15" customHeight="1">
      <c r="A175" s="2" t="s">
        <v>943</v>
      </c>
      <c r="B175" s="2" t="s">
        <v>23</v>
      </c>
      <c r="C175" s="2">
        <v>25</v>
      </c>
      <c r="D175" s="2" t="s">
        <v>174</v>
      </c>
      <c r="E175" s="2" t="s">
        <v>111</v>
      </c>
      <c r="F175" s="2">
        <v>281</v>
      </c>
      <c r="G175" s="2"/>
    </row>
    <row r="176" spans="1:7" ht="15" customHeight="1">
      <c r="A176" s="3" t="s">
        <v>944</v>
      </c>
      <c r="B176" s="3" t="s">
        <v>9</v>
      </c>
      <c r="C176" s="3">
        <v>25</v>
      </c>
      <c r="D176" s="3" t="s">
        <v>174</v>
      </c>
      <c r="E176" s="3" t="s">
        <v>111</v>
      </c>
      <c r="F176" s="3">
        <v>270</v>
      </c>
      <c r="G176" s="3"/>
    </row>
    <row r="177" spans="1:7" ht="15" customHeight="1">
      <c r="A177" s="2" t="s">
        <v>945</v>
      </c>
      <c r="B177" s="2" t="s">
        <v>13</v>
      </c>
      <c r="C177" s="2">
        <v>25</v>
      </c>
      <c r="D177" s="2" t="s">
        <v>174</v>
      </c>
      <c r="E177" s="2" t="s">
        <v>111</v>
      </c>
      <c r="F177" s="2">
        <v>254</v>
      </c>
      <c r="G177" s="2"/>
    </row>
    <row r="178" spans="1:7" ht="15" customHeight="1">
      <c r="A178" s="3" t="s">
        <v>946</v>
      </c>
      <c r="B178" s="3" t="s">
        <v>15</v>
      </c>
      <c r="C178" s="3">
        <v>26</v>
      </c>
      <c r="D178" s="3" t="s">
        <v>174</v>
      </c>
      <c r="E178" s="3" t="s">
        <v>111</v>
      </c>
      <c r="F178" s="3">
        <v>282</v>
      </c>
      <c r="G178" s="3"/>
    </row>
    <row r="179" spans="1:7" ht="15" customHeight="1">
      <c r="A179" s="2" t="s">
        <v>947</v>
      </c>
      <c r="B179" s="2" t="s">
        <v>17</v>
      </c>
      <c r="C179" s="2">
        <v>26</v>
      </c>
      <c r="D179" s="2" t="s">
        <v>174</v>
      </c>
      <c r="E179" s="2" t="s">
        <v>111</v>
      </c>
      <c r="F179" s="2">
        <v>261</v>
      </c>
      <c r="G179" s="2"/>
    </row>
    <row r="180" spans="1:7" ht="15" customHeight="1">
      <c r="A180" s="3" t="s">
        <v>948</v>
      </c>
      <c r="B180" s="3" t="s">
        <v>19</v>
      </c>
      <c r="C180" s="3">
        <v>26</v>
      </c>
      <c r="D180" s="3" t="s">
        <v>174</v>
      </c>
      <c r="E180" s="3" t="s">
        <v>111</v>
      </c>
      <c r="F180" s="3">
        <v>292</v>
      </c>
      <c r="G180" s="3"/>
    </row>
    <row r="181" spans="1:7" ht="15" customHeight="1">
      <c r="A181" s="2" t="s">
        <v>949</v>
      </c>
      <c r="B181" s="2" t="s">
        <v>21</v>
      </c>
      <c r="C181" s="2">
        <v>26</v>
      </c>
      <c r="D181" s="2" t="s">
        <v>174</v>
      </c>
      <c r="E181" s="2" t="s">
        <v>111</v>
      </c>
      <c r="F181" s="2">
        <v>291</v>
      </c>
      <c r="G181" s="2"/>
    </row>
    <row r="182" spans="1:7" ht="15" customHeight="1">
      <c r="A182" s="3" t="s">
        <v>950</v>
      </c>
      <c r="B182" s="3" t="s">
        <v>23</v>
      </c>
      <c r="C182" s="3">
        <v>26</v>
      </c>
      <c r="D182" s="3" t="s">
        <v>174</v>
      </c>
      <c r="E182" s="3" t="s">
        <v>111</v>
      </c>
      <c r="F182" s="3">
        <v>314</v>
      </c>
      <c r="G182" s="3"/>
    </row>
    <row r="183" spans="1:7" ht="15" customHeight="1">
      <c r="A183" s="2" t="s">
        <v>951</v>
      </c>
      <c r="B183" s="2" t="s">
        <v>9</v>
      </c>
      <c r="C183" s="2">
        <v>26</v>
      </c>
      <c r="D183" s="2" t="s">
        <v>174</v>
      </c>
      <c r="E183" s="2" t="s">
        <v>111</v>
      </c>
      <c r="F183" s="2">
        <v>247</v>
      </c>
      <c r="G183" s="2"/>
    </row>
    <row r="184" spans="1:7" ht="15" customHeight="1">
      <c r="A184" s="3" t="s">
        <v>952</v>
      </c>
      <c r="B184" s="3" t="s">
        <v>13</v>
      </c>
      <c r="C184" s="3">
        <v>26</v>
      </c>
      <c r="D184" s="3" t="s">
        <v>174</v>
      </c>
      <c r="E184" s="3" t="s">
        <v>111</v>
      </c>
      <c r="F184" s="3">
        <v>255</v>
      </c>
      <c r="G184" s="3"/>
    </row>
    <row r="185" spans="1:7" ht="15" customHeight="1">
      <c r="A185" s="2" t="s">
        <v>953</v>
      </c>
      <c r="B185" s="2" t="s">
        <v>15</v>
      </c>
      <c r="C185" s="2">
        <v>27</v>
      </c>
      <c r="D185" s="2" t="s">
        <v>205</v>
      </c>
      <c r="E185" s="2" t="s">
        <v>206</v>
      </c>
      <c r="F185" s="2">
        <v>285</v>
      </c>
      <c r="G185" s="2"/>
    </row>
    <row r="186" spans="1:7" ht="15" customHeight="1">
      <c r="A186" s="3" t="s">
        <v>954</v>
      </c>
      <c r="B186" s="3" t="s">
        <v>17</v>
      </c>
      <c r="C186" s="3">
        <v>27</v>
      </c>
      <c r="D186" s="3" t="s">
        <v>205</v>
      </c>
      <c r="E186" s="3" t="s">
        <v>206</v>
      </c>
      <c r="F186" s="3">
        <v>305</v>
      </c>
      <c r="G186" s="3"/>
    </row>
    <row r="187" spans="1:7" ht="15" customHeight="1">
      <c r="A187" s="2" t="s">
        <v>955</v>
      </c>
      <c r="B187" s="2" t="s">
        <v>19</v>
      </c>
      <c r="C187" s="2">
        <v>27</v>
      </c>
      <c r="D187" s="2" t="s">
        <v>205</v>
      </c>
      <c r="E187" s="2" t="s">
        <v>206</v>
      </c>
      <c r="F187" s="2">
        <v>280</v>
      </c>
      <c r="G187" s="2"/>
    </row>
    <row r="188" spans="1:7" ht="15" customHeight="1">
      <c r="A188" s="3" t="s">
        <v>956</v>
      </c>
      <c r="B188" s="3" t="s">
        <v>21</v>
      </c>
      <c r="C188" s="3">
        <v>27</v>
      </c>
      <c r="D188" s="3" t="s">
        <v>205</v>
      </c>
      <c r="E188" s="3" t="s">
        <v>206</v>
      </c>
      <c r="F188" s="3">
        <v>285</v>
      </c>
      <c r="G188" s="3"/>
    </row>
    <row r="189" spans="1:7" ht="15" customHeight="1">
      <c r="A189" s="2" t="s">
        <v>957</v>
      </c>
      <c r="B189" s="2" t="s">
        <v>23</v>
      </c>
      <c r="C189" s="2">
        <v>27</v>
      </c>
      <c r="D189" s="2" t="s">
        <v>205</v>
      </c>
      <c r="E189" s="2" t="s">
        <v>206</v>
      </c>
      <c r="F189" s="2">
        <v>290</v>
      </c>
      <c r="G189" s="2"/>
    </row>
    <row r="190" spans="1:7" ht="15" customHeight="1">
      <c r="A190" s="3" t="s">
        <v>958</v>
      </c>
      <c r="B190" s="3" t="s">
        <v>9</v>
      </c>
      <c r="C190" s="3">
        <v>27</v>
      </c>
      <c r="D190" s="3" t="s">
        <v>205</v>
      </c>
      <c r="E190" s="3" t="s">
        <v>206</v>
      </c>
      <c r="F190" s="3">
        <v>254</v>
      </c>
      <c r="G190" s="3"/>
    </row>
    <row r="191" spans="1:7" ht="15" customHeight="1">
      <c r="A191" s="2" t="s">
        <v>959</v>
      </c>
      <c r="B191" s="2" t="s">
        <v>13</v>
      </c>
      <c r="C191" s="2">
        <v>27</v>
      </c>
      <c r="D191" s="2" t="s">
        <v>205</v>
      </c>
      <c r="E191" s="2" t="s">
        <v>206</v>
      </c>
      <c r="F191" s="2">
        <v>244</v>
      </c>
      <c r="G191" s="2"/>
    </row>
    <row r="192" spans="1:7" ht="15" customHeight="1">
      <c r="A192" s="3" t="s">
        <v>960</v>
      </c>
      <c r="B192" s="3" t="s">
        <v>15</v>
      </c>
      <c r="C192" s="3">
        <v>28</v>
      </c>
      <c r="D192" s="3" t="s">
        <v>205</v>
      </c>
      <c r="E192" s="3" t="s">
        <v>206</v>
      </c>
      <c r="F192" s="3">
        <v>284</v>
      </c>
      <c r="G192" s="3"/>
    </row>
    <row r="193" spans="1:7" ht="15" customHeight="1">
      <c r="A193" s="2" t="s">
        <v>961</v>
      </c>
      <c r="B193" s="2" t="s">
        <v>17</v>
      </c>
      <c r="C193" s="2">
        <v>28</v>
      </c>
      <c r="D193" s="2" t="s">
        <v>205</v>
      </c>
      <c r="E193" s="2" t="s">
        <v>206</v>
      </c>
      <c r="F193" s="2">
        <v>297</v>
      </c>
      <c r="G193" s="2"/>
    </row>
    <row r="194" spans="1:7" ht="15" customHeight="1">
      <c r="A194" s="3" t="s">
        <v>962</v>
      </c>
      <c r="B194" s="3" t="s">
        <v>19</v>
      </c>
      <c r="C194" s="3">
        <v>28</v>
      </c>
      <c r="D194" s="3" t="s">
        <v>205</v>
      </c>
      <c r="E194" s="3" t="s">
        <v>206</v>
      </c>
      <c r="F194" s="3">
        <v>265</v>
      </c>
      <c r="G194" s="3"/>
    </row>
    <row r="195" spans="1:7" ht="15" customHeight="1">
      <c r="A195" s="2" t="s">
        <v>963</v>
      </c>
      <c r="B195" s="2" t="s">
        <v>21</v>
      </c>
      <c r="C195" s="2">
        <v>28</v>
      </c>
      <c r="D195" s="2" t="s">
        <v>205</v>
      </c>
      <c r="E195" s="2" t="s">
        <v>206</v>
      </c>
      <c r="F195" s="2">
        <v>283</v>
      </c>
      <c r="G195" s="2"/>
    </row>
    <row r="196" spans="1:7" ht="15" customHeight="1">
      <c r="A196" s="3" t="s">
        <v>964</v>
      </c>
      <c r="B196" s="3" t="s">
        <v>23</v>
      </c>
      <c r="C196" s="3">
        <v>28</v>
      </c>
      <c r="D196" s="3" t="s">
        <v>205</v>
      </c>
      <c r="E196" s="3" t="s">
        <v>206</v>
      </c>
      <c r="F196" s="3">
        <v>270</v>
      </c>
      <c r="G196" s="3"/>
    </row>
    <row r="197" spans="1:7" ht="15" customHeight="1">
      <c r="A197" s="2" t="s">
        <v>965</v>
      </c>
      <c r="B197" s="2" t="s">
        <v>9</v>
      </c>
      <c r="C197" s="2">
        <v>28</v>
      </c>
      <c r="D197" s="2" t="s">
        <v>205</v>
      </c>
      <c r="E197" s="2" t="s">
        <v>206</v>
      </c>
      <c r="F197" s="2">
        <v>268</v>
      </c>
      <c r="G197" s="2"/>
    </row>
    <row r="198" spans="1:7" ht="15" customHeight="1">
      <c r="A198" s="3" t="s">
        <v>966</v>
      </c>
      <c r="B198" s="3" t="s">
        <v>13</v>
      </c>
      <c r="C198" s="3">
        <v>28</v>
      </c>
      <c r="D198" s="3" t="s">
        <v>205</v>
      </c>
      <c r="E198" s="3" t="s">
        <v>206</v>
      </c>
      <c r="F198" s="3">
        <v>228</v>
      </c>
      <c r="G198" s="3"/>
    </row>
    <row r="199" spans="1:7" ht="15" customHeight="1">
      <c r="A199" s="2" t="s">
        <v>967</v>
      </c>
      <c r="B199" s="2" t="s">
        <v>15</v>
      </c>
      <c r="C199" s="2">
        <v>29</v>
      </c>
      <c r="D199" s="2" t="s">
        <v>205</v>
      </c>
      <c r="E199" s="2" t="s">
        <v>206</v>
      </c>
      <c r="F199" s="2">
        <v>272</v>
      </c>
      <c r="G199" s="2"/>
    </row>
    <row r="200" spans="1:7" ht="15" customHeight="1">
      <c r="A200" s="3" t="s">
        <v>968</v>
      </c>
      <c r="B200" s="3" t="s">
        <v>17</v>
      </c>
      <c r="C200" s="3">
        <v>29</v>
      </c>
      <c r="D200" s="3" t="s">
        <v>205</v>
      </c>
      <c r="E200" s="3" t="s">
        <v>206</v>
      </c>
      <c r="F200" s="3">
        <v>286</v>
      </c>
      <c r="G200" s="3"/>
    </row>
    <row r="201" spans="1:7" ht="15" customHeight="1">
      <c r="A201" s="2" t="s">
        <v>969</v>
      </c>
      <c r="B201" s="2" t="s">
        <v>19</v>
      </c>
      <c r="C201" s="2">
        <v>29</v>
      </c>
      <c r="D201" s="2" t="s">
        <v>205</v>
      </c>
      <c r="E201" s="2" t="s">
        <v>206</v>
      </c>
      <c r="F201" s="2">
        <v>303</v>
      </c>
      <c r="G201" s="2"/>
    </row>
    <row r="202" spans="1:7" ht="15" customHeight="1">
      <c r="A202" s="3" t="s">
        <v>970</v>
      </c>
      <c r="B202" s="3" t="s">
        <v>21</v>
      </c>
      <c r="C202" s="3">
        <v>29</v>
      </c>
      <c r="D202" s="3" t="s">
        <v>205</v>
      </c>
      <c r="E202" s="3" t="s">
        <v>206</v>
      </c>
      <c r="F202" s="3">
        <v>279</v>
      </c>
      <c r="G202" s="3"/>
    </row>
    <row r="203" spans="1:7" ht="15" customHeight="1">
      <c r="A203" s="2" t="s">
        <v>971</v>
      </c>
      <c r="B203" s="2" t="s">
        <v>23</v>
      </c>
      <c r="C203" s="2">
        <v>29</v>
      </c>
      <c r="D203" s="2" t="s">
        <v>205</v>
      </c>
      <c r="E203" s="2" t="s">
        <v>206</v>
      </c>
      <c r="F203" s="2">
        <v>271</v>
      </c>
      <c r="G203" s="2"/>
    </row>
    <row r="204" spans="1:7" ht="15" customHeight="1">
      <c r="A204" s="3" t="s">
        <v>972</v>
      </c>
      <c r="B204" s="3" t="s">
        <v>9</v>
      </c>
      <c r="C204" s="3">
        <v>29</v>
      </c>
      <c r="D204" s="3" t="s">
        <v>205</v>
      </c>
      <c r="E204" s="3" t="s">
        <v>206</v>
      </c>
      <c r="F204" s="3">
        <v>278</v>
      </c>
      <c r="G204" s="3"/>
    </row>
    <row r="205" spans="1:7" ht="15" customHeight="1">
      <c r="A205" s="2" t="s">
        <v>973</v>
      </c>
      <c r="B205" s="2" t="s">
        <v>13</v>
      </c>
      <c r="C205" s="2">
        <v>29</v>
      </c>
      <c r="D205" s="2" t="s">
        <v>205</v>
      </c>
      <c r="E205" s="2" t="s">
        <v>206</v>
      </c>
      <c r="F205" s="2">
        <v>228</v>
      </c>
      <c r="G205" s="2"/>
    </row>
    <row r="206" spans="1:7" ht="15" customHeight="1">
      <c r="A206" s="3" t="s">
        <v>974</v>
      </c>
      <c r="B206" s="3" t="s">
        <v>15</v>
      </c>
      <c r="C206" s="3">
        <v>30</v>
      </c>
      <c r="D206" s="3" t="s">
        <v>205</v>
      </c>
      <c r="E206" s="3" t="s">
        <v>206</v>
      </c>
      <c r="F206" s="3">
        <v>246</v>
      </c>
      <c r="G206" s="3"/>
    </row>
    <row r="207" spans="1:7" ht="15" customHeight="1">
      <c r="A207" s="2" t="s">
        <v>975</v>
      </c>
      <c r="B207" s="2" t="s">
        <v>17</v>
      </c>
      <c r="C207" s="2">
        <v>30</v>
      </c>
      <c r="D207" s="2" t="s">
        <v>205</v>
      </c>
      <c r="E207" s="2" t="s">
        <v>206</v>
      </c>
      <c r="F207" s="2">
        <v>286</v>
      </c>
      <c r="G207" s="2"/>
    </row>
    <row r="208" spans="1:7" ht="15" customHeight="1">
      <c r="A208" s="3" t="s">
        <v>976</v>
      </c>
      <c r="B208" s="3" t="s">
        <v>19</v>
      </c>
      <c r="C208" s="3">
        <v>30</v>
      </c>
      <c r="D208" s="3" t="s">
        <v>205</v>
      </c>
      <c r="E208" s="3" t="s">
        <v>206</v>
      </c>
      <c r="F208" s="3">
        <v>271</v>
      </c>
      <c r="G208" s="3"/>
    </row>
    <row r="209" spans="1:7" ht="15" customHeight="1">
      <c r="A209" s="2" t="s">
        <v>977</v>
      </c>
      <c r="B209" s="2" t="s">
        <v>21</v>
      </c>
      <c r="C209" s="2">
        <v>30</v>
      </c>
      <c r="D209" s="2" t="s">
        <v>205</v>
      </c>
      <c r="E209" s="2" t="s">
        <v>206</v>
      </c>
      <c r="F209" s="2">
        <v>263</v>
      </c>
      <c r="G209" s="2"/>
    </row>
    <row r="210" spans="1:7" ht="15" customHeight="1">
      <c r="A210" s="3" t="s">
        <v>978</v>
      </c>
      <c r="B210" s="3" t="s">
        <v>23</v>
      </c>
      <c r="C210" s="3">
        <v>30</v>
      </c>
      <c r="D210" s="3" t="s">
        <v>205</v>
      </c>
      <c r="E210" s="3" t="s">
        <v>206</v>
      </c>
      <c r="F210" s="3">
        <v>289</v>
      </c>
      <c r="G210" s="3"/>
    </row>
    <row r="211" spans="1:7" ht="15" customHeight="1">
      <c r="A211" s="2" t="s">
        <v>979</v>
      </c>
      <c r="B211" s="2" t="s">
        <v>9</v>
      </c>
      <c r="C211" s="2">
        <v>30</v>
      </c>
      <c r="D211" s="2" t="s">
        <v>205</v>
      </c>
      <c r="E211" s="2" t="s">
        <v>206</v>
      </c>
      <c r="F211" s="2">
        <v>252</v>
      </c>
      <c r="G211" s="2"/>
    </row>
    <row r="212" spans="1:7" ht="15" customHeight="1">
      <c r="A212" s="3" t="s">
        <v>980</v>
      </c>
      <c r="B212" s="3" t="s">
        <v>13</v>
      </c>
      <c r="C212" s="3">
        <v>30</v>
      </c>
      <c r="D212" s="3" t="s">
        <v>205</v>
      </c>
      <c r="E212" s="3" t="s">
        <v>206</v>
      </c>
      <c r="F212" s="3">
        <v>239</v>
      </c>
      <c r="G212" s="3"/>
    </row>
    <row r="213" spans="1:7" ht="15" customHeight="1">
      <c r="A213" s="2" t="s">
        <v>981</v>
      </c>
      <c r="B213" s="2" t="s">
        <v>15</v>
      </c>
      <c r="C213" s="2">
        <v>31</v>
      </c>
      <c r="D213" s="2" t="s">
        <v>205</v>
      </c>
      <c r="E213" s="2" t="s">
        <v>206</v>
      </c>
      <c r="F213" s="2">
        <v>258</v>
      </c>
      <c r="G213" s="2"/>
    </row>
    <row r="214" spans="1:7" ht="15" customHeight="1">
      <c r="A214" s="3" t="s">
        <v>982</v>
      </c>
      <c r="B214" s="3" t="s">
        <v>17</v>
      </c>
      <c r="C214" s="3">
        <v>31</v>
      </c>
      <c r="D214" s="3" t="s">
        <v>205</v>
      </c>
      <c r="E214" s="3" t="s">
        <v>206</v>
      </c>
      <c r="F214" s="3">
        <v>291</v>
      </c>
      <c r="G214" s="3"/>
    </row>
    <row r="215" spans="1:7" ht="15" customHeight="1">
      <c r="A215" s="2" t="s">
        <v>983</v>
      </c>
      <c r="B215" s="2" t="s">
        <v>19</v>
      </c>
      <c r="C215" s="2">
        <v>31</v>
      </c>
      <c r="D215" s="2" t="s">
        <v>205</v>
      </c>
      <c r="E215" s="2" t="s">
        <v>206</v>
      </c>
      <c r="F215" s="2">
        <v>287</v>
      </c>
      <c r="G215" s="2"/>
    </row>
    <row r="216" spans="1:7" ht="15" customHeight="1">
      <c r="A216" s="3" t="s">
        <v>984</v>
      </c>
      <c r="B216" s="3" t="s">
        <v>21</v>
      </c>
      <c r="C216" s="3">
        <v>31</v>
      </c>
      <c r="D216" s="3" t="s">
        <v>238</v>
      </c>
      <c r="E216" s="3" t="s">
        <v>206</v>
      </c>
      <c r="F216" s="3">
        <v>275</v>
      </c>
      <c r="G216" s="3"/>
    </row>
    <row r="217" spans="1:7" ht="15" customHeight="1">
      <c r="A217" s="2" t="s">
        <v>985</v>
      </c>
      <c r="B217" s="2" t="s">
        <v>23</v>
      </c>
      <c r="C217" s="2">
        <v>31</v>
      </c>
      <c r="D217" s="2" t="s">
        <v>238</v>
      </c>
      <c r="E217" s="2" t="s">
        <v>206</v>
      </c>
      <c r="F217" s="2">
        <v>304</v>
      </c>
      <c r="G217" s="2"/>
    </row>
    <row r="218" spans="1:7" ht="15" customHeight="1">
      <c r="A218" s="3" t="s">
        <v>986</v>
      </c>
      <c r="B218" s="3" t="s">
        <v>9</v>
      </c>
      <c r="C218" s="3">
        <v>31</v>
      </c>
      <c r="D218" s="3" t="s">
        <v>238</v>
      </c>
      <c r="E218" s="3" t="s">
        <v>206</v>
      </c>
      <c r="F218" s="3">
        <v>230</v>
      </c>
      <c r="G218" s="3"/>
    </row>
    <row r="219" spans="1:7" ht="15" customHeight="1">
      <c r="A219" s="2" t="s">
        <v>987</v>
      </c>
      <c r="B219" s="2" t="s">
        <v>13</v>
      </c>
      <c r="C219" s="2">
        <v>31</v>
      </c>
      <c r="D219" s="2" t="s">
        <v>238</v>
      </c>
      <c r="E219" s="2" t="s">
        <v>206</v>
      </c>
      <c r="F219" s="2">
        <v>223</v>
      </c>
      <c r="G219" s="2"/>
    </row>
    <row r="220" spans="1:7" ht="15" customHeight="1">
      <c r="A220" s="3" t="s">
        <v>988</v>
      </c>
      <c r="B220" s="3" t="s">
        <v>15</v>
      </c>
      <c r="C220" s="3">
        <v>32</v>
      </c>
      <c r="D220" s="3" t="s">
        <v>238</v>
      </c>
      <c r="E220" s="3" t="s">
        <v>206</v>
      </c>
      <c r="F220" s="3">
        <v>265</v>
      </c>
      <c r="G220" s="3"/>
    </row>
    <row r="221" spans="1:7" ht="15" customHeight="1">
      <c r="A221" s="2" t="s">
        <v>989</v>
      </c>
      <c r="B221" s="2" t="s">
        <v>17</v>
      </c>
      <c r="C221" s="2">
        <v>32</v>
      </c>
      <c r="D221" s="2" t="s">
        <v>238</v>
      </c>
      <c r="E221" s="2" t="s">
        <v>206</v>
      </c>
      <c r="F221" s="2">
        <v>275</v>
      </c>
      <c r="G221" s="2"/>
    </row>
    <row r="222" spans="1:7" ht="15" customHeight="1">
      <c r="A222" s="3" t="s">
        <v>990</v>
      </c>
      <c r="B222" s="3" t="s">
        <v>19</v>
      </c>
      <c r="C222" s="3">
        <v>32</v>
      </c>
      <c r="D222" s="3" t="s">
        <v>238</v>
      </c>
      <c r="E222" s="3" t="s">
        <v>206</v>
      </c>
      <c r="F222" s="3">
        <v>279</v>
      </c>
      <c r="G222" s="3"/>
    </row>
    <row r="223" spans="1:7" ht="15" customHeight="1">
      <c r="A223" s="2" t="s">
        <v>991</v>
      </c>
      <c r="B223" s="2" t="s">
        <v>21</v>
      </c>
      <c r="C223" s="2">
        <v>32</v>
      </c>
      <c r="D223" s="2" t="s">
        <v>238</v>
      </c>
      <c r="E223" s="2" t="s">
        <v>206</v>
      </c>
      <c r="F223" s="2">
        <v>271</v>
      </c>
      <c r="G223" s="2"/>
    </row>
    <row r="224" spans="1:7" ht="15" customHeight="1">
      <c r="A224" s="3" t="s">
        <v>992</v>
      </c>
      <c r="B224" s="3" t="s">
        <v>23</v>
      </c>
      <c r="C224" s="3">
        <v>32</v>
      </c>
      <c r="D224" s="3" t="s">
        <v>238</v>
      </c>
      <c r="E224" s="3" t="s">
        <v>206</v>
      </c>
      <c r="F224" s="3">
        <v>280</v>
      </c>
      <c r="G224" s="3"/>
    </row>
    <row r="225" spans="1:7" ht="15" customHeight="1">
      <c r="A225" s="2" t="s">
        <v>993</v>
      </c>
      <c r="B225" s="2" t="s">
        <v>9</v>
      </c>
      <c r="C225" s="2">
        <v>32</v>
      </c>
      <c r="D225" s="2" t="s">
        <v>238</v>
      </c>
      <c r="E225" s="2" t="s">
        <v>206</v>
      </c>
      <c r="F225" s="2">
        <v>226</v>
      </c>
      <c r="G225" s="2"/>
    </row>
    <row r="226" spans="1:7" ht="15" customHeight="1">
      <c r="A226" s="3" t="s">
        <v>994</v>
      </c>
      <c r="B226" s="3" t="s">
        <v>13</v>
      </c>
      <c r="C226" s="3">
        <v>32</v>
      </c>
      <c r="D226" s="3" t="s">
        <v>238</v>
      </c>
      <c r="E226" s="3" t="s">
        <v>206</v>
      </c>
      <c r="F226" s="3">
        <v>266</v>
      </c>
      <c r="G226" s="3"/>
    </row>
    <row r="227" spans="1:7" ht="15" customHeight="1">
      <c r="A227" s="2" t="s">
        <v>995</v>
      </c>
      <c r="B227" s="2" t="s">
        <v>15</v>
      </c>
      <c r="C227" s="2">
        <v>33</v>
      </c>
      <c r="D227" s="2" t="s">
        <v>238</v>
      </c>
      <c r="E227" s="2" t="s">
        <v>206</v>
      </c>
      <c r="F227" s="2">
        <v>273</v>
      </c>
      <c r="G227" s="2"/>
    </row>
    <row r="228" spans="1:7" ht="15" customHeight="1">
      <c r="A228" s="3" t="s">
        <v>996</v>
      </c>
      <c r="B228" s="3" t="s">
        <v>17</v>
      </c>
      <c r="C228" s="3">
        <v>33</v>
      </c>
      <c r="D228" s="3" t="s">
        <v>238</v>
      </c>
      <c r="E228" s="3" t="s">
        <v>206</v>
      </c>
      <c r="F228" s="3">
        <v>290</v>
      </c>
      <c r="G228" s="3"/>
    </row>
    <row r="229" spans="1:7" ht="15" customHeight="1">
      <c r="A229" s="2" t="s">
        <v>997</v>
      </c>
      <c r="B229" s="2" t="s">
        <v>19</v>
      </c>
      <c r="C229" s="2">
        <v>33</v>
      </c>
      <c r="D229" s="2" t="s">
        <v>238</v>
      </c>
      <c r="E229" s="2" t="s">
        <v>206</v>
      </c>
      <c r="F229" s="2">
        <v>278</v>
      </c>
      <c r="G229" s="2"/>
    </row>
    <row r="230" spans="1:7" ht="15" customHeight="1">
      <c r="A230" s="3" t="s">
        <v>998</v>
      </c>
      <c r="B230" s="3" t="s">
        <v>21</v>
      </c>
      <c r="C230" s="3">
        <v>33</v>
      </c>
      <c r="D230" s="3" t="s">
        <v>238</v>
      </c>
      <c r="E230" s="3" t="s">
        <v>206</v>
      </c>
      <c r="F230" s="3">
        <v>280</v>
      </c>
      <c r="G230" s="3"/>
    </row>
    <row r="231" spans="1:7" ht="15" customHeight="1">
      <c r="A231" s="2" t="s">
        <v>999</v>
      </c>
      <c r="B231" s="2" t="s">
        <v>23</v>
      </c>
      <c r="C231" s="2">
        <v>33</v>
      </c>
      <c r="D231" s="2" t="s">
        <v>238</v>
      </c>
      <c r="E231" s="2" t="s">
        <v>206</v>
      </c>
      <c r="F231" s="2">
        <v>281</v>
      </c>
      <c r="G231" s="2"/>
    </row>
    <row r="232" spans="1:7" ht="15" customHeight="1">
      <c r="A232" s="3" t="s">
        <v>1000</v>
      </c>
      <c r="B232" s="3" t="s">
        <v>9</v>
      </c>
      <c r="C232" s="3">
        <v>33</v>
      </c>
      <c r="D232" s="3" t="s">
        <v>238</v>
      </c>
      <c r="E232" s="3" t="s">
        <v>206</v>
      </c>
      <c r="F232" s="3">
        <v>249</v>
      </c>
      <c r="G232" s="3"/>
    </row>
    <row r="233" spans="1:7" ht="15" customHeight="1">
      <c r="A233" s="2" t="s">
        <v>1001</v>
      </c>
      <c r="B233" s="2" t="s">
        <v>13</v>
      </c>
      <c r="C233" s="2">
        <v>33</v>
      </c>
      <c r="D233" s="2" t="s">
        <v>238</v>
      </c>
      <c r="E233" s="2" t="s">
        <v>206</v>
      </c>
      <c r="F233" s="2">
        <v>251</v>
      </c>
      <c r="G233" s="2"/>
    </row>
    <row r="234" spans="1:7" ht="15" customHeight="1">
      <c r="A234" s="3" t="s">
        <v>1002</v>
      </c>
      <c r="B234" s="3" t="s">
        <v>15</v>
      </c>
      <c r="C234" s="3">
        <v>34</v>
      </c>
      <c r="D234" s="3" t="s">
        <v>238</v>
      </c>
      <c r="E234" s="3" t="s">
        <v>206</v>
      </c>
      <c r="F234" s="3">
        <v>291</v>
      </c>
      <c r="G234" s="3"/>
    </row>
    <row r="235" spans="1:7" ht="15" customHeight="1">
      <c r="A235" s="2" t="s">
        <v>1003</v>
      </c>
      <c r="B235" s="2" t="s">
        <v>17</v>
      </c>
      <c r="C235" s="2">
        <v>34</v>
      </c>
      <c r="D235" s="2" t="s">
        <v>238</v>
      </c>
      <c r="E235" s="2" t="s">
        <v>206</v>
      </c>
      <c r="F235" s="2">
        <v>274</v>
      </c>
      <c r="G235" s="2"/>
    </row>
    <row r="236" spans="1:7" ht="15" customHeight="1">
      <c r="A236" s="3" t="s">
        <v>1004</v>
      </c>
      <c r="B236" s="3" t="s">
        <v>19</v>
      </c>
      <c r="C236" s="3">
        <v>34</v>
      </c>
      <c r="D236" s="3" t="s">
        <v>238</v>
      </c>
      <c r="E236" s="3" t="s">
        <v>206</v>
      </c>
      <c r="F236" s="3">
        <v>281</v>
      </c>
      <c r="G236" s="3"/>
    </row>
    <row r="237" spans="1:7" ht="15" customHeight="1">
      <c r="A237" s="2" t="s">
        <v>1005</v>
      </c>
      <c r="B237" s="2" t="s">
        <v>21</v>
      </c>
      <c r="C237" s="2">
        <v>34</v>
      </c>
      <c r="D237" s="2" t="s">
        <v>238</v>
      </c>
      <c r="E237" s="2" t="s">
        <v>206</v>
      </c>
      <c r="F237" s="2">
        <v>269</v>
      </c>
      <c r="G237" s="2"/>
    </row>
    <row r="238" spans="1:7" ht="15" customHeight="1">
      <c r="A238" s="3" t="s">
        <v>1006</v>
      </c>
      <c r="B238" s="3" t="s">
        <v>23</v>
      </c>
      <c r="C238" s="3">
        <v>34</v>
      </c>
      <c r="D238" s="3" t="s">
        <v>238</v>
      </c>
      <c r="E238" s="3" t="s">
        <v>206</v>
      </c>
      <c r="F238" s="3">
        <v>292</v>
      </c>
      <c r="G238" s="3"/>
    </row>
    <row r="239" spans="1:7" ht="15" customHeight="1">
      <c r="A239" s="2" t="s">
        <v>1007</v>
      </c>
      <c r="B239" s="2" t="s">
        <v>9</v>
      </c>
      <c r="C239" s="2">
        <v>34</v>
      </c>
      <c r="D239" s="2" t="s">
        <v>238</v>
      </c>
      <c r="E239" s="2" t="s">
        <v>206</v>
      </c>
      <c r="F239" s="2">
        <v>229</v>
      </c>
      <c r="G239" s="2"/>
    </row>
    <row r="240" spans="1:7" ht="15" customHeight="1">
      <c r="A240" s="3" t="s">
        <v>1008</v>
      </c>
      <c r="B240" s="3" t="s">
        <v>13</v>
      </c>
      <c r="C240" s="3">
        <v>34</v>
      </c>
      <c r="D240" s="3" t="s">
        <v>238</v>
      </c>
      <c r="E240" s="3" t="s">
        <v>206</v>
      </c>
      <c r="F240" s="3">
        <v>266</v>
      </c>
      <c r="G240" s="3"/>
    </row>
    <row r="241" spans="1:7" ht="15" customHeight="1">
      <c r="A241" s="2" t="s">
        <v>1009</v>
      </c>
      <c r="B241" s="2" t="s">
        <v>15</v>
      </c>
      <c r="C241" s="2">
        <v>35</v>
      </c>
      <c r="D241" s="2" t="s">
        <v>238</v>
      </c>
      <c r="E241" s="2" t="s">
        <v>206</v>
      </c>
      <c r="F241" s="2">
        <v>268</v>
      </c>
      <c r="G241" s="2"/>
    </row>
    <row r="242" spans="1:7" ht="15" customHeight="1">
      <c r="A242" s="3" t="s">
        <v>1010</v>
      </c>
      <c r="B242" s="3" t="s">
        <v>17</v>
      </c>
      <c r="C242" s="3">
        <v>35</v>
      </c>
      <c r="D242" s="3" t="s">
        <v>238</v>
      </c>
      <c r="E242" s="3" t="s">
        <v>206</v>
      </c>
      <c r="F242" s="3">
        <v>247</v>
      </c>
      <c r="G242" s="3"/>
    </row>
    <row r="243" spans="1:7" ht="15" customHeight="1">
      <c r="A243" s="2" t="s">
        <v>1011</v>
      </c>
      <c r="B243" s="2" t="s">
        <v>19</v>
      </c>
      <c r="C243" s="2">
        <v>35</v>
      </c>
      <c r="D243" s="2" t="s">
        <v>238</v>
      </c>
      <c r="E243" s="2" t="s">
        <v>206</v>
      </c>
      <c r="F243" s="2">
        <v>270</v>
      </c>
      <c r="G243" s="2"/>
    </row>
    <row r="244" spans="1:7" ht="15" customHeight="1">
      <c r="A244" s="3" t="s">
        <v>1012</v>
      </c>
      <c r="B244" s="3" t="s">
        <v>21</v>
      </c>
      <c r="C244" s="3">
        <v>35</v>
      </c>
      <c r="D244" s="3" t="s">
        <v>238</v>
      </c>
      <c r="E244" s="3" t="s">
        <v>206</v>
      </c>
      <c r="F244" s="3">
        <v>257</v>
      </c>
      <c r="G244" s="3"/>
    </row>
    <row r="245" spans="1:7" ht="15" customHeight="1">
      <c r="A245" s="2" t="s">
        <v>1013</v>
      </c>
      <c r="B245" s="2" t="s">
        <v>23</v>
      </c>
      <c r="C245" s="2">
        <v>35</v>
      </c>
      <c r="D245" s="2" t="s">
        <v>238</v>
      </c>
      <c r="E245" s="2" t="s">
        <v>206</v>
      </c>
      <c r="F245" s="2">
        <v>280</v>
      </c>
      <c r="G245" s="2"/>
    </row>
    <row r="246" spans="1:7" ht="15" customHeight="1">
      <c r="A246" s="3" t="s">
        <v>1014</v>
      </c>
      <c r="B246" s="3" t="s">
        <v>9</v>
      </c>
      <c r="C246" s="3">
        <v>35</v>
      </c>
      <c r="D246" s="3" t="s">
        <v>238</v>
      </c>
      <c r="E246" s="3" t="s">
        <v>206</v>
      </c>
      <c r="F246" s="3">
        <v>227</v>
      </c>
      <c r="G246" s="3"/>
    </row>
    <row r="247" spans="1:7" ht="15" customHeight="1">
      <c r="A247" s="2" t="s">
        <v>1015</v>
      </c>
      <c r="B247" s="2" t="s">
        <v>13</v>
      </c>
      <c r="C247" s="2">
        <v>35</v>
      </c>
      <c r="D247" s="2" t="s">
        <v>270</v>
      </c>
      <c r="E247" s="2" t="s">
        <v>206</v>
      </c>
      <c r="F247" s="2">
        <v>230</v>
      </c>
      <c r="G247" s="2"/>
    </row>
    <row r="248" spans="1:7" ht="15" customHeight="1">
      <c r="A248" s="3" t="s">
        <v>1016</v>
      </c>
      <c r="B248" s="3" t="s">
        <v>15</v>
      </c>
      <c r="C248" s="3">
        <v>36</v>
      </c>
      <c r="D248" s="3" t="s">
        <v>270</v>
      </c>
      <c r="E248" s="3" t="s">
        <v>206</v>
      </c>
      <c r="F248" s="3">
        <v>238</v>
      </c>
      <c r="G248" s="3"/>
    </row>
    <row r="249" spans="1:7" ht="15" customHeight="1">
      <c r="A249" s="2" t="s">
        <v>1017</v>
      </c>
      <c r="B249" s="2" t="s">
        <v>17</v>
      </c>
      <c r="C249" s="2">
        <v>36</v>
      </c>
      <c r="D249" s="2" t="s">
        <v>270</v>
      </c>
      <c r="E249" s="2" t="s">
        <v>206</v>
      </c>
      <c r="F249" s="2">
        <v>259</v>
      </c>
      <c r="G249" s="2"/>
    </row>
    <row r="250" spans="1:7" ht="15" customHeight="1">
      <c r="A250" s="3" t="s">
        <v>1018</v>
      </c>
      <c r="B250" s="3" t="s">
        <v>19</v>
      </c>
      <c r="C250" s="3">
        <v>36</v>
      </c>
      <c r="D250" s="3" t="s">
        <v>270</v>
      </c>
      <c r="E250" s="3" t="s">
        <v>206</v>
      </c>
      <c r="F250" s="3">
        <v>229</v>
      </c>
      <c r="G250" s="3"/>
    </row>
    <row r="251" spans="1:7" ht="15" customHeight="1">
      <c r="A251" s="2" t="s">
        <v>1019</v>
      </c>
      <c r="B251" s="2" t="s">
        <v>21</v>
      </c>
      <c r="C251" s="2">
        <v>36</v>
      </c>
      <c r="D251" s="2" t="s">
        <v>270</v>
      </c>
      <c r="E251" s="2" t="s">
        <v>206</v>
      </c>
      <c r="F251" s="2">
        <v>241</v>
      </c>
      <c r="G251" s="2"/>
    </row>
    <row r="252" spans="1:7" ht="15" customHeight="1">
      <c r="A252" s="3" t="s">
        <v>1020</v>
      </c>
      <c r="B252" s="3" t="s">
        <v>23</v>
      </c>
      <c r="C252" s="3">
        <v>36</v>
      </c>
      <c r="D252" s="3" t="s">
        <v>270</v>
      </c>
      <c r="E252" s="3" t="s">
        <v>206</v>
      </c>
      <c r="F252" s="3">
        <v>276</v>
      </c>
      <c r="G252" s="3"/>
    </row>
    <row r="253" spans="1:7" ht="15" customHeight="1">
      <c r="A253" s="2" t="s">
        <v>1021</v>
      </c>
      <c r="B253" s="2" t="s">
        <v>9</v>
      </c>
      <c r="C253" s="2">
        <v>36</v>
      </c>
      <c r="D253" s="2" t="s">
        <v>270</v>
      </c>
      <c r="E253" s="2" t="s">
        <v>206</v>
      </c>
      <c r="F253" s="2">
        <v>246</v>
      </c>
      <c r="G253" s="2"/>
    </row>
    <row r="254" spans="1:7" ht="15" customHeight="1">
      <c r="A254" s="3" t="s">
        <v>1022</v>
      </c>
      <c r="B254" s="3" t="s">
        <v>13</v>
      </c>
      <c r="C254" s="3">
        <v>36</v>
      </c>
      <c r="D254" s="3" t="s">
        <v>270</v>
      </c>
      <c r="E254" s="3" t="s">
        <v>206</v>
      </c>
      <c r="F254" s="3">
        <v>240</v>
      </c>
      <c r="G254" s="3"/>
    </row>
    <row r="255" spans="1:7" ht="15" customHeight="1">
      <c r="A255" s="2" t="s">
        <v>1023</v>
      </c>
      <c r="B255" s="2" t="s">
        <v>15</v>
      </c>
      <c r="C255" s="2">
        <v>37</v>
      </c>
      <c r="D255" s="2" t="s">
        <v>270</v>
      </c>
      <c r="E255" s="2" t="s">
        <v>206</v>
      </c>
      <c r="F255" s="2">
        <v>249</v>
      </c>
      <c r="G255" s="2"/>
    </row>
    <row r="256" spans="1:7" ht="15" customHeight="1">
      <c r="A256" s="3" t="s">
        <v>1024</v>
      </c>
      <c r="B256" s="3" t="s">
        <v>17</v>
      </c>
      <c r="C256" s="3">
        <v>37</v>
      </c>
      <c r="D256" s="3" t="s">
        <v>270</v>
      </c>
      <c r="E256" s="3" t="s">
        <v>206</v>
      </c>
      <c r="F256" s="3">
        <v>262</v>
      </c>
      <c r="G256" s="3"/>
    </row>
    <row r="257" spans="1:7" ht="15" customHeight="1">
      <c r="A257" s="2" t="s">
        <v>1025</v>
      </c>
      <c r="B257" s="2" t="s">
        <v>19</v>
      </c>
      <c r="C257" s="2">
        <v>37</v>
      </c>
      <c r="D257" s="2" t="s">
        <v>270</v>
      </c>
      <c r="E257" s="2" t="s">
        <v>206</v>
      </c>
      <c r="F257" s="2">
        <v>262</v>
      </c>
      <c r="G257" s="2"/>
    </row>
    <row r="258" spans="1:7" ht="15" customHeight="1">
      <c r="A258" s="3" t="s">
        <v>1026</v>
      </c>
      <c r="B258" s="3" t="s">
        <v>21</v>
      </c>
      <c r="C258" s="3">
        <v>37</v>
      </c>
      <c r="D258" s="3" t="s">
        <v>270</v>
      </c>
      <c r="E258" s="3" t="s">
        <v>206</v>
      </c>
      <c r="F258" s="3">
        <v>245</v>
      </c>
      <c r="G258" s="3"/>
    </row>
    <row r="259" spans="1:7" ht="15" customHeight="1">
      <c r="A259" s="2" t="s">
        <v>1027</v>
      </c>
      <c r="B259" s="2" t="s">
        <v>23</v>
      </c>
      <c r="C259" s="2">
        <v>37</v>
      </c>
      <c r="D259" s="2" t="s">
        <v>270</v>
      </c>
      <c r="E259" s="2" t="s">
        <v>206</v>
      </c>
      <c r="F259" s="2">
        <v>284</v>
      </c>
      <c r="G259" s="2"/>
    </row>
    <row r="260" spans="1:7" ht="15" customHeight="1">
      <c r="A260" s="3" t="s">
        <v>1028</v>
      </c>
      <c r="B260" s="3" t="s">
        <v>9</v>
      </c>
      <c r="C260" s="3">
        <v>37</v>
      </c>
      <c r="D260" s="3" t="s">
        <v>270</v>
      </c>
      <c r="E260" s="3" t="s">
        <v>206</v>
      </c>
      <c r="F260" s="3">
        <v>244</v>
      </c>
      <c r="G260" s="3"/>
    </row>
    <row r="261" spans="1:7" ht="15" customHeight="1">
      <c r="A261" s="2" t="s">
        <v>1029</v>
      </c>
      <c r="B261" s="2" t="s">
        <v>13</v>
      </c>
      <c r="C261" s="2">
        <v>37</v>
      </c>
      <c r="D261" s="2" t="s">
        <v>270</v>
      </c>
      <c r="E261" s="2" t="s">
        <v>206</v>
      </c>
      <c r="F261" s="2">
        <v>227</v>
      </c>
      <c r="G261" s="2"/>
    </row>
    <row r="262" spans="1:7" ht="15" customHeight="1">
      <c r="A262" s="3" t="s">
        <v>1030</v>
      </c>
      <c r="B262" s="3" t="s">
        <v>15</v>
      </c>
      <c r="C262" s="3">
        <v>38</v>
      </c>
      <c r="D262" s="3" t="s">
        <v>270</v>
      </c>
      <c r="E262" s="3" t="s">
        <v>206</v>
      </c>
      <c r="F262" s="3">
        <v>261</v>
      </c>
      <c r="G262" s="3"/>
    </row>
    <row r="263" spans="1:7" ht="15" customHeight="1">
      <c r="A263" s="2" t="s">
        <v>1031</v>
      </c>
      <c r="B263" s="2" t="s">
        <v>17</v>
      </c>
      <c r="C263" s="2">
        <v>38</v>
      </c>
      <c r="D263" s="2" t="s">
        <v>270</v>
      </c>
      <c r="E263" s="2" t="s">
        <v>206</v>
      </c>
      <c r="F263" s="2">
        <v>263</v>
      </c>
      <c r="G263" s="2"/>
    </row>
    <row r="264" spans="1:7" ht="15" customHeight="1">
      <c r="A264" s="3" t="s">
        <v>1032</v>
      </c>
      <c r="B264" s="3" t="s">
        <v>19</v>
      </c>
      <c r="C264" s="3">
        <v>38</v>
      </c>
      <c r="D264" s="3" t="s">
        <v>270</v>
      </c>
      <c r="E264" s="3" t="s">
        <v>206</v>
      </c>
      <c r="F264" s="3">
        <v>229</v>
      </c>
      <c r="G264" s="3"/>
    </row>
    <row r="265" spans="1:7" ht="15" customHeight="1">
      <c r="A265" s="2" t="s">
        <v>1033</v>
      </c>
      <c r="B265" s="2" t="s">
        <v>21</v>
      </c>
      <c r="C265" s="2">
        <v>38</v>
      </c>
      <c r="D265" s="2" t="s">
        <v>270</v>
      </c>
      <c r="E265" s="2" t="s">
        <v>206</v>
      </c>
      <c r="F265" s="2">
        <v>255</v>
      </c>
      <c r="G265" s="2"/>
    </row>
    <row r="266" spans="1:7" ht="15" customHeight="1">
      <c r="A266" s="3" t="s">
        <v>1034</v>
      </c>
      <c r="B266" s="3" t="s">
        <v>23</v>
      </c>
      <c r="C266" s="3">
        <v>38</v>
      </c>
      <c r="D266" s="3" t="s">
        <v>270</v>
      </c>
      <c r="E266" s="3" t="s">
        <v>206</v>
      </c>
      <c r="F266" s="3">
        <v>248</v>
      </c>
      <c r="G266" s="3"/>
    </row>
    <row r="267" spans="1:7" ht="15" customHeight="1">
      <c r="A267" s="2" t="s">
        <v>1035</v>
      </c>
      <c r="B267" s="2" t="s">
        <v>9</v>
      </c>
      <c r="C267" s="2">
        <v>38</v>
      </c>
      <c r="D267" s="2" t="s">
        <v>270</v>
      </c>
      <c r="E267" s="2" t="s">
        <v>206</v>
      </c>
      <c r="F267" s="2">
        <v>213</v>
      </c>
      <c r="G267" s="2"/>
    </row>
    <row r="268" spans="1:7" ht="15" customHeight="1">
      <c r="A268" s="3" t="s">
        <v>1036</v>
      </c>
      <c r="B268" s="3" t="s">
        <v>13</v>
      </c>
      <c r="C268" s="3">
        <v>38</v>
      </c>
      <c r="D268" s="3" t="s">
        <v>270</v>
      </c>
      <c r="E268" s="3" t="s">
        <v>206</v>
      </c>
      <c r="F268" s="3">
        <v>223</v>
      </c>
      <c r="G268" s="3"/>
    </row>
    <row r="269" spans="1:7" ht="15" customHeight="1">
      <c r="A269" s="2" t="s">
        <v>1037</v>
      </c>
      <c r="B269" s="2" t="s">
        <v>15</v>
      </c>
      <c r="C269" s="2">
        <v>39</v>
      </c>
      <c r="D269" s="2" t="s">
        <v>270</v>
      </c>
      <c r="E269" s="2" t="s">
        <v>206</v>
      </c>
      <c r="F269" s="2">
        <v>284</v>
      </c>
      <c r="G269" s="2"/>
    </row>
    <row r="270" spans="1:7" ht="15" customHeight="1">
      <c r="A270" s="3" t="s">
        <v>1038</v>
      </c>
      <c r="B270" s="3" t="s">
        <v>17</v>
      </c>
      <c r="C270" s="3">
        <v>39</v>
      </c>
      <c r="D270" s="3" t="s">
        <v>270</v>
      </c>
      <c r="E270" s="3" t="s">
        <v>206</v>
      </c>
      <c r="F270" s="3">
        <v>266</v>
      </c>
      <c r="G270" s="3"/>
    </row>
    <row r="271" spans="1:7" ht="15" customHeight="1">
      <c r="A271" s="2" t="s">
        <v>1039</v>
      </c>
      <c r="B271" s="2" t="s">
        <v>19</v>
      </c>
      <c r="C271" s="2">
        <v>39</v>
      </c>
      <c r="D271" s="2" t="s">
        <v>270</v>
      </c>
      <c r="E271" s="2" t="s">
        <v>206</v>
      </c>
      <c r="F271" s="2">
        <v>248</v>
      </c>
      <c r="G271" s="2"/>
    </row>
    <row r="272" spans="1:7" ht="15" customHeight="1">
      <c r="A272" s="3" t="s">
        <v>1040</v>
      </c>
      <c r="B272" s="3" t="s">
        <v>21</v>
      </c>
      <c r="C272" s="3">
        <v>39</v>
      </c>
      <c r="D272" s="3" t="s">
        <v>270</v>
      </c>
      <c r="E272" s="3" t="s">
        <v>206</v>
      </c>
      <c r="F272" s="3">
        <v>265</v>
      </c>
      <c r="G272" s="3"/>
    </row>
    <row r="273" spans="1:7" ht="15" customHeight="1">
      <c r="A273" s="2" t="s">
        <v>1041</v>
      </c>
      <c r="B273" s="2" t="s">
        <v>23</v>
      </c>
      <c r="C273" s="2">
        <v>39</v>
      </c>
      <c r="D273" s="2" t="s">
        <v>270</v>
      </c>
      <c r="E273" s="2" t="s">
        <v>206</v>
      </c>
      <c r="F273" s="2">
        <v>253</v>
      </c>
      <c r="G273" s="2"/>
    </row>
    <row r="274" spans="1:7" ht="15" customHeight="1">
      <c r="A274" s="3" t="s">
        <v>1042</v>
      </c>
      <c r="B274" s="3" t="s">
        <v>9</v>
      </c>
      <c r="C274" s="3">
        <v>39</v>
      </c>
      <c r="D274" s="3" t="s">
        <v>270</v>
      </c>
      <c r="E274" s="3" t="s">
        <v>206</v>
      </c>
      <c r="F274" s="3">
        <v>216</v>
      </c>
      <c r="G274" s="3"/>
    </row>
    <row r="275" spans="1:7" ht="15" customHeight="1">
      <c r="A275" s="2" t="s">
        <v>1043</v>
      </c>
      <c r="B275" s="2" t="s">
        <v>13</v>
      </c>
      <c r="C275" s="2">
        <v>39</v>
      </c>
      <c r="D275" s="2" t="s">
        <v>270</v>
      </c>
      <c r="E275" s="2" t="s">
        <v>206</v>
      </c>
      <c r="F275" s="2">
        <v>203</v>
      </c>
      <c r="G275" s="2"/>
    </row>
    <row r="276" spans="1:7" ht="15" customHeight="1">
      <c r="A276" s="3" t="s">
        <v>1044</v>
      </c>
      <c r="B276" s="3" t="s">
        <v>15</v>
      </c>
      <c r="C276" s="3">
        <v>40</v>
      </c>
      <c r="D276" s="3" t="s">
        <v>270</v>
      </c>
      <c r="E276" s="3" t="s">
        <v>206</v>
      </c>
      <c r="F276" s="3">
        <v>223</v>
      </c>
      <c r="G276" s="3"/>
    </row>
    <row r="277" spans="1:7" ht="15" customHeight="1">
      <c r="A277" s="2" t="s">
        <v>1045</v>
      </c>
      <c r="B277" s="2" t="s">
        <v>17</v>
      </c>
      <c r="C277" s="2">
        <v>40</v>
      </c>
      <c r="D277" s="2" t="s">
        <v>301</v>
      </c>
      <c r="E277" s="2" t="s">
        <v>302</v>
      </c>
      <c r="F277" s="2">
        <v>244</v>
      </c>
      <c r="G277" s="2"/>
    </row>
    <row r="278" spans="1:7" ht="15" customHeight="1">
      <c r="A278" s="3" t="s">
        <v>1046</v>
      </c>
      <c r="B278" s="3" t="s">
        <v>19</v>
      </c>
      <c r="C278" s="3">
        <v>40</v>
      </c>
      <c r="D278" s="3" t="s">
        <v>301</v>
      </c>
      <c r="E278" s="3" t="s">
        <v>302</v>
      </c>
      <c r="F278" s="3">
        <v>239</v>
      </c>
      <c r="G278" s="3"/>
    </row>
    <row r="279" spans="1:7" ht="15" customHeight="1">
      <c r="A279" s="2" t="s">
        <v>1047</v>
      </c>
      <c r="B279" s="2" t="s">
        <v>21</v>
      </c>
      <c r="C279" s="2">
        <v>40</v>
      </c>
      <c r="D279" s="2" t="s">
        <v>301</v>
      </c>
      <c r="E279" s="2" t="s">
        <v>302</v>
      </c>
      <c r="F279" s="2">
        <v>247</v>
      </c>
      <c r="G279" s="2"/>
    </row>
    <row r="280" spans="1:7" ht="15" customHeight="1">
      <c r="A280" s="3" t="s">
        <v>1048</v>
      </c>
      <c r="B280" s="3" t="s">
        <v>23</v>
      </c>
      <c r="C280" s="3">
        <v>40</v>
      </c>
      <c r="D280" s="3" t="s">
        <v>301</v>
      </c>
      <c r="E280" s="3" t="s">
        <v>302</v>
      </c>
      <c r="F280" s="3">
        <v>244</v>
      </c>
      <c r="G280" s="3"/>
    </row>
    <row r="281" spans="1:7" ht="15" customHeight="1">
      <c r="A281" s="2" t="s">
        <v>1049</v>
      </c>
      <c r="B281" s="2" t="s">
        <v>9</v>
      </c>
      <c r="C281" s="2">
        <v>40</v>
      </c>
      <c r="D281" s="2" t="s">
        <v>301</v>
      </c>
      <c r="E281" s="2" t="s">
        <v>302</v>
      </c>
      <c r="F281" s="2">
        <v>220</v>
      </c>
      <c r="G281" s="2"/>
    </row>
    <row r="282" spans="1:7" ht="15" customHeight="1">
      <c r="A282" s="3" t="s">
        <v>1050</v>
      </c>
      <c r="B282" s="3" t="s">
        <v>13</v>
      </c>
      <c r="C282" s="3">
        <v>40</v>
      </c>
      <c r="D282" s="3" t="s">
        <v>301</v>
      </c>
      <c r="E282" s="3" t="s">
        <v>302</v>
      </c>
      <c r="F282" s="3">
        <v>197</v>
      </c>
      <c r="G282" s="3"/>
    </row>
    <row r="283" spans="1:7" ht="15" customHeight="1">
      <c r="A283" s="2" t="s">
        <v>1051</v>
      </c>
      <c r="B283" s="2" t="s">
        <v>15</v>
      </c>
      <c r="C283" s="2">
        <v>41</v>
      </c>
      <c r="D283" s="2" t="s">
        <v>301</v>
      </c>
      <c r="E283" s="2" t="s">
        <v>302</v>
      </c>
      <c r="F283" s="2">
        <v>255</v>
      </c>
      <c r="G283" s="2"/>
    </row>
    <row r="284" spans="1:7" ht="15" customHeight="1">
      <c r="A284" s="3" t="s">
        <v>1052</v>
      </c>
      <c r="B284" s="3" t="s">
        <v>17</v>
      </c>
      <c r="C284" s="3">
        <v>41</v>
      </c>
      <c r="D284" s="3" t="s">
        <v>301</v>
      </c>
      <c r="E284" s="3" t="s">
        <v>302</v>
      </c>
      <c r="F284" s="3">
        <v>239</v>
      </c>
      <c r="G284" s="3"/>
    </row>
    <row r="285" spans="1:7" ht="15" customHeight="1">
      <c r="A285" s="2" t="s">
        <v>1053</v>
      </c>
      <c r="B285" s="2" t="s">
        <v>19</v>
      </c>
      <c r="C285" s="2">
        <v>41</v>
      </c>
      <c r="D285" s="2" t="s">
        <v>301</v>
      </c>
      <c r="E285" s="2" t="s">
        <v>302</v>
      </c>
      <c r="F285" s="2">
        <v>267</v>
      </c>
      <c r="G285" s="2"/>
    </row>
    <row r="286" spans="1:7" ht="15" customHeight="1">
      <c r="A286" s="3" t="s">
        <v>1054</v>
      </c>
      <c r="B286" s="3" t="s">
        <v>21</v>
      </c>
      <c r="C286" s="3">
        <v>41</v>
      </c>
      <c r="D286" s="3" t="s">
        <v>301</v>
      </c>
      <c r="E286" s="3" t="s">
        <v>302</v>
      </c>
      <c r="F286" s="3">
        <v>226</v>
      </c>
      <c r="G286" s="3"/>
    </row>
    <row r="287" spans="1:7" ht="15" customHeight="1">
      <c r="A287" s="2" t="s">
        <v>1055</v>
      </c>
      <c r="B287" s="2" t="s">
        <v>23</v>
      </c>
      <c r="C287" s="2">
        <v>41</v>
      </c>
      <c r="D287" s="2" t="s">
        <v>301</v>
      </c>
      <c r="E287" s="2" t="s">
        <v>302</v>
      </c>
      <c r="F287" s="2">
        <v>263</v>
      </c>
      <c r="G287" s="2"/>
    </row>
    <row r="288" spans="1:7" ht="15" customHeight="1">
      <c r="A288" s="3" t="s">
        <v>1056</v>
      </c>
      <c r="B288" s="3" t="s">
        <v>9</v>
      </c>
      <c r="C288" s="3">
        <v>41</v>
      </c>
      <c r="D288" s="3" t="s">
        <v>301</v>
      </c>
      <c r="E288" s="3" t="s">
        <v>302</v>
      </c>
      <c r="F288" s="3">
        <v>211</v>
      </c>
      <c r="G288" s="3"/>
    </row>
    <row r="289" spans="1:7" ht="15" customHeight="1">
      <c r="A289" s="2" t="s">
        <v>1057</v>
      </c>
      <c r="B289" s="2" t="s">
        <v>13</v>
      </c>
      <c r="C289" s="2">
        <v>41</v>
      </c>
      <c r="D289" s="2" t="s">
        <v>301</v>
      </c>
      <c r="E289" s="2" t="s">
        <v>302</v>
      </c>
      <c r="F289" s="2">
        <v>198</v>
      </c>
      <c r="G289" s="2"/>
    </row>
    <row r="290" spans="1:7" ht="15" customHeight="1">
      <c r="A290" s="3" t="s">
        <v>1058</v>
      </c>
      <c r="B290" s="3" t="s">
        <v>15</v>
      </c>
      <c r="C290" s="3">
        <v>42</v>
      </c>
      <c r="D290" s="3" t="s">
        <v>301</v>
      </c>
      <c r="E290" s="3" t="s">
        <v>302</v>
      </c>
      <c r="F290" s="3">
        <v>231</v>
      </c>
      <c r="G290" s="3"/>
    </row>
    <row r="291" spans="1:7" ht="15" customHeight="1">
      <c r="A291" s="2" t="s">
        <v>1059</v>
      </c>
      <c r="B291" s="2" t="s">
        <v>17</v>
      </c>
      <c r="C291" s="2">
        <v>42</v>
      </c>
      <c r="D291" s="2" t="s">
        <v>301</v>
      </c>
      <c r="E291" s="2" t="s">
        <v>302</v>
      </c>
      <c r="F291" s="2">
        <v>234</v>
      </c>
      <c r="G291" s="2"/>
    </row>
    <row r="292" spans="1:7" ht="15" customHeight="1">
      <c r="A292" s="3" t="s">
        <v>1060</v>
      </c>
      <c r="B292" s="3" t="s">
        <v>19</v>
      </c>
      <c r="C292" s="3">
        <v>42</v>
      </c>
      <c r="D292" s="3" t="s">
        <v>301</v>
      </c>
      <c r="E292" s="3" t="s">
        <v>302</v>
      </c>
      <c r="F292" s="3">
        <v>246</v>
      </c>
      <c r="G292" s="3"/>
    </row>
    <row r="293" spans="1:7" ht="15" customHeight="1">
      <c r="A293" s="2" t="s">
        <v>1061</v>
      </c>
      <c r="B293" s="2" t="s">
        <v>21</v>
      </c>
      <c r="C293" s="2">
        <v>42</v>
      </c>
      <c r="D293" s="2" t="s">
        <v>301</v>
      </c>
      <c r="E293" s="2" t="s">
        <v>302</v>
      </c>
      <c r="F293" s="2">
        <v>248</v>
      </c>
      <c r="G293" s="2"/>
    </row>
    <row r="294" spans="1:7" ht="15" customHeight="1">
      <c r="A294" s="3" t="s">
        <v>1062</v>
      </c>
      <c r="B294" s="3" t="s">
        <v>23</v>
      </c>
      <c r="C294" s="3">
        <v>42</v>
      </c>
      <c r="D294" s="3" t="s">
        <v>301</v>
      </c>
      <c r="E294" s="3" t="s">
        <v>302</v>
      </c>
      <c r="F294" s="3">
        <v>232</v>
      </c>
      <c r="G294" s="3"/>
    </row>
    <row r="295" spans="1:7" ht="15" customHeight="1">
      <c r="A295" s="2" t="s">
        <v>1063</v>
      </c>
      <c r="B295" s="2" t="s">
        <v>9</v>
      </c>
      <c r="C295" s="2">
        <v>42</v>
      </c>
      <c r="D295" s="2" t="s">
        <v>301</v>
      </c>
      <c r="E295" s="2" t="s">
        <v>302</v>
      </c>
      <c r="F295" s="2">
        <v>211</v>
      </c>
      <c r="G295" s="2"/>
    </row>
    <row r="296" spans="1:7" ht="15" customHeight="1">
      <c r="A296" s="3" t="s">
        <v>1064</v>
      </c>
      <c r="B296" s="3" t="s">
        <v>13</v>
      </c>
      <c r="C296" s="3">
        <v>42</v>
      </c>
      <c r="D296" s="3" t="s">
        <v>301</v>
      </c>
      <c r="E296" s="3" t="s">
        <v>302</v>
      </c>
      <c r="F296" s="3">
        <v>244</v>
      </c>
      <c r="G296" s="3"/>
    </row>
    <row r="297" spans="1:7" ht="15" customHeight="1">
      <c r="A297" s="2" t="s">
        <v>1065</v>
      </c>
      <c r="B297" s="2" t="s">
        <v>15</v>
      </c>
      <c r="C297" s="2">
        <v>43</v>
      </c>
      <c r="D297" s="2" t="s">
        <v>301</v>
      </c>
      <c r="E297" s="2" t="s">
        <v>302</v>
      </c>
      <c r="F297" s="2">
        <v>268</v>
      </c>
      <c r="G297" s="2"/>
    </row>
    <row r="298" spans="1:7" ht="15" customHeight="1">
      <c r="A298" s="3" t="s">
        <v>1066</v>
      </c>
      <c r="B298" s="3" t="s">
        <v>17</v>
      </c>
      <c r="C298" s="3">
        <v>43</v>
      </c>
      <c r="D298" s="3" t="s">
        <v>301</v>
      </c>
      <c r="E298" s="3" t="s">
        <v>302</v>
      </c>
      <c r="F298" s="3">
        <v>249</v>
      </c>
      <c r="G298" s="3"/>
    </row>
    <row r="299" spans="1:7" ht="15" customHeight="1">
      <c r="A299" s="2" t="s">
        <v>1067</v>
      </c>
      <c r="B299" s="2" t="s">
        <v>19</v>
      </c>
      <c r="C299" s="2">
        <v>43</v>
      </c>
      <c r="D299" s="2" t="s">
        <v>301</v>
      </c>
      <c r="E299" s="2" t="s">
        <v>302</v>
      </c>
      <c r="F299" s="2">
        <v>244</v>
      </c>
      <c r="G299" s="2"/>
    </row>
    <row r="300" spans="1:7" ht="15" customHeight="1">
      <c r="A300" s="3" t="s">
        <v>1068</v>
      </c>
      <c r="B300" s="3" t="s">
        <v>21</v>
      </c>
      <c r="C300" s="3">
        <v>43</v>
      </c>
      <c r="D300" s="3" t="s">
        <v>301</v>
      </c>
      <c r="E300" s="3" t="s">
        <v>302</v>
      </c>
      <c r="F300" s="3">
        <v>245</v>
      </c>
      <c r="G300" s="3"/>
    </row>
    <row r="301" spans="1:7" ht="15" customHeight="1">
      <c r="A301" s="2" t="s">
        <v>1069</v>
      </c>
      <c r="B301" s="2" t="s">
        <v>23</v>
      </c>
      <c r="C301" s="2">
        <v>43</v>
      </c>
      <c r="D301" s="2" t="s">
        <v>301</v>
      </c>
      <c r="E301" s="2" t="s">
        <v>302</v>
      </c>
      <c r="F301" s="2">
        <v>253</v>
      </c>
      <c r="G301" s="2"/>
    </row>
    <row r="302" spans="1:7" ht="15" customHeight="1">
      <c r="A302" s="3" t="s">
        <v>1070</v>
      </c>
      <c r="B302" s="3" t="s">
        <v>9</v>
      </c>
      <c r="C302" s="3">
        <v>43</v>
      </c>
      <c r="D302" s="3" t="s">
        <v>301</v>
      </c>
      <c r="E302" s="3" t="s">
        <v>302</v>
      </c>
      <c r="F302" s="3">
        <v>199</v>
      </c>
      <c r="G302" s="3"/>
    </row>
    <row r="303" spans="1:7" ht="15" customHeight="1">
      <c r="A303" s="2" t="s">
        <v>1071</v>
      </c>
      <c r="B303" s="2" t="s">
        <v>13</v>
      </c>
      <c r="C303" s="2">
        <v>43</v>
      </c>
      <c r="D303" s="2" t="s">
        <v>301</v>
      </c>
      <c r="E303" s="2" t="s">
        <v>302</v>
      </c>
      <c r="F303" s="2">
        <v>211</v>
      </c>
      <c r="G303" s="2"/>
    </row>
    <row r="304" spans="1:7" ht="15" customHeight="1">
      <c r="A304" s="3" t="s">
        <v>1072</v>
      </c>
      <c r="B304" s="3" t="s">
        <v>15</v>
      </c>
      <c r="C304" s="3">
        <v>44</v>
      </c>
      <c r="D304" s="3" t="s">
        <v>301</v>
      </c>
      <c r="E304" s="3" t="s">
        <v>302</v>
      </c>
      <c r="F304" s="3">
        <v>221</v>
      </c>
      <c r="G304" s="3"/>
    </row>
    <row r="305" spans="1:7" ht="15" customHeight="1">
      <c r="A305" s="2" t="s">
        <v>1073</v>
      </c>
      <c r="B305" s="2" t="s">
        <v>17</v>
      </c>
      <c r="C305" s="2">
        <v>44</v>
      </c>
      <c r="D305" s="2" t="s">
        <v>301</v>
      </c>
      <c r="E305" s="2" t="s">
        <v>302</v>
      </c>
      <c r="F305" s="2">
        <v>252</v>
      </c>
      <c r="G305" s="2"/>
    </row>
    <row r="306" spans="1:7" ht="15" customHeight="1">
      <c r="A306" s="3" t="s">
        <v>1074</v>
      </c>
      <c r="B306" s="3" t="s">
        <v>19</v>
      </c>
      <c r="C306" s="3">
        <v>44</v>
      </c>
      <c r="D306" s="3" t="s">
        <v>301</v>
      </c>
      <c r="E306" s="3" t="s">
        <v>302</v>
      </c>
      <c r="F306" s="3">
        <v>257</v>
      </c>
      <c r="G306" s="3"/>
    </row>
    <row r="307" spans="1:7" ht="15" customHeight="1">
      <c r="A307" s="2" t="s">
        <v>1075</v>
      </c>
      <c r="B307" s="2" t="s">
        <v>21</v>
      </c>
      <c r="C307" s="2">
        <v>44</v>
      </c>
      <c r="D307" s="2" t="s">
        <v>301</v>
      </c>
      <c r="E307" s="2" t="s">
        <v>302</v>
      </c>
      <c r="F307" s="2">
        <v>240</v>
      </c>
      <c r="G307" s="2"/>
    </row>
    <row r="308" spans="1:7" ht="15" customHeight="1">
      <c r="A308" s="3" t="s">
        <v>1076</v>
      </c>
      <c r="B308" s="3" t="s">
        <v>23</v>
      </c>
      <c r="C308" s="3">
        <v>44</v>
      </c>
      <c r="D308" s="3" t="s">
        <v>334</v>
      </c>
      <c r="E308" s="3" t="s">
        <v>302</v>
      </c>
      <c r="F308" s="3">
        <v>272</v>
      </c>
      <c r="G308" s="3"/>
    </row>
    <row r="309" spans="1:7" ht="15" customHeight="1">
      <c r="A309" s="2" t="s">
        <v>1077</v>
      </c>
      <c r="B309" s="2" t="s">
        <v>9</v>
      </c>
      <c r="C309" s="2">
        <v>44</v>
      </c>
      <c r="D309" s="2" t="s">
        <v>334</v>
      </c>
      <c r="E309" s="2" t="s">
        <v>302</v>
      </c>
      <c r="F309" s="2">
        <v>200</v>
      </c>
      <c r="G309" s="2"/>
    </row>
    <row r="310" spans="1:7" ht="15" customHeight="1">
      <c r="A310" s="3" t="s">
        <v>1078</v>
      </c>
      <c r="B310" s="3" t="s">
        <v>13</v>
      </c>
      <c r="C310" s="3">
        <v>44</v>
      </c>
      <c r="D310" s="3" t="s">
        <v>334</v>
      </c>
      <c r="E310" s="3" t="s">
        <v>302</v>
      </c>
      <c r="F310" s="3">
        <v>197</v>
      </c>
      <c r="G310" s="3"/>
    </row>
    <row r="311" spans="1:7" ht="15" customHeight="1">
      <c r="A311" s="2" t="s">
        <v>1079</v>
      </c>
      <c r="B311" s="2" t="s">
        <v>15</v>
      </c>
      <c r="C311" s="2">
        <v>45</v>
      </c>
      <c r="D311" s="2" t="s">
        <v>334</v>
      </c>
      <c r="E311" s="2" t="s">
        <v>302</v>
      </c>
      <c r="F311" s="2">
        <v>253</v>
      </c>
      <c r="G311" s="2"/>
    </row>
    <row r="312" spans="1:7" ht="15" customHeight="1">
      <c r="A312" s="3" t="s">
        <v>1080</v>
      </c>
      <c r="B312" s="3" t="s">
        <v>17</v>
      </c>
      <c r="C312" s="3">
        <v>45</v>
      </c>
      <c r="D312" s="3" t="s">
        <v>334</v>
      </c>
      <c r="E312" s="3" t="s">
        <v>302</v>
      </c>
      <c r="F312" s="3">
        <v>266</v>
      </c>
      <c r="G312" s="3"/>
    </row>
    <row r="313" spans="1:7" ht="15" customHeight="1">
      <c r="A313" s="2" t="s">
        <v>1081</v>
      </c>
      <c r="B313" s="2" t="s">
        <v>19</v>
      </c>
      <c r="C313" s="2">
        <v>45</v>
      </c>
      <c r="D313" s="2" t="s">
        <v>334</v>
      </c>
      <c r="E313" s="2" t="s">
        <v>302</v>
      </c>
      <c r="F313" s="2">
        <v>276</v>
      </c>
      <c r="G313" s="2"/>
    </row>
    <row r="314" spans="1:7" ht="15" customHeight="1">
      <c r="A314" s="3" t="s">
        <v>1082</v>
      </c>
      <c r="B314" s="3" t="s">
        <v>21</v>
      </c>
      <c r="C314" s="3">
        <v>45</v>
      </c>
      <c r="D314" s="3" t="s">
        <v>334</v>
      </c>
      <c r="E314" s="3" t="s">
        <v>302</v>
      </c>
      <c r="F314" s="3">
        <v>245</v>
      </c>
      <c r="G314" s="3"/>
    </row>
    <row r="315" spans="1:7" ht="15" customHeight="1">
      <c r="A315" s="2" t="s">
        <v>1083</v>
      </c>
      <c r="B315" s="2" t="s">
        <v>23</v>
      </c>
      <c r="C315" s="2">
        <v>45</v>
      </c>
      <c r="D315" s="2" t="s">
        <v>334</v>
      </c>
      <c r="E315" s="2" t="s">
        <v>302</v>
      </c>
      <c r="F315" s="2">
        <v>268</v>
      </c>
      <c r="G315" s="2"/>
    </row>
    <row r="316" spans="1:7" ht="15" customHeight="1">
      <c r="A316" s="3" t="s">
        <v>1084</v>
      </c>
      <c r="B316" s="3" t="s">
        <v>9</v>
      </c>
      <c r="C316" s="3">
        <v>45</v>
      </c>
      <c r="D316" s="3" t="s">
        <v>334</v>
      </c>
      <c r="E316" s="3" t="s">
        <v>302</v>
      </c>
      <c r="F316" s="3">
        <v>222</v>
      </c>
      <c r="G316" s="3"/>
    </row>
    <row r="317" spans="1:7" ht="15" customHeight="1">
      <c r="A317" s="2" t="s">
        <v>1085</v>
      </c>
      <c r="B317" s="2" t="s">
        <v>13</v>
      </c>
      <c r="C317" s="2">
        <v>45</v>
      </c>
      <c r="D317" s="2" t="s">
        <v>334</v>
      </c>
      <c r="E317" s="2" t="s">
        <v>302</v>
      </c>
      <c r="F317" s="2">
        <v>221</v>
      </c>
      <c r="G317" s="2"/>
    </row>
    <row r="318" spans="1:7" ht="15" customHeight="1">
      <c r="A318" s="3" t="s">
        <v>1086</v>
      </c>
      <c r="B318" s="3" t="s">
        <v>15</v>
      </c>
      <c r="C318" s="3">
        <v>46</v>
      </c>
      <c r="D318" s="3" t="s">
        <v>334</v>
      </c>
      <c r="E318" s="3" t="s">
        <v>302</v>
      </c>
      <c r="F318" s="3">
        <v>267</v>
      </c>
      <c r="G318" s="3"/>
    </row>
    <row r="319" spans="1:7" ht="15" customHeight="1">
      <c r="A319" s="2" t="s">
        <v>1087</v>
      </c>
      <c r="B319" s="2" t="s">
        <v>17</v>
      </c>
      <c r="C319" s="2">
        <v>46</v>
      </c>
      <c r="D319" s="2" t="s">
        <v>334</v>
      </c>
      <c r="E319" s="2" t="s">
        <v>302</v>
      </c>
      <c r="F319" s="2">
        <v>264</v>
      </c>
      <c r="G319" s="2"/>
    </row>
    <row r="320" spans="1:7" ht="15" customHeight="1">
      <c r="A320" s="3" t="s">
        <v>1088</v>
      </c>
      <c r="B320" s="3" t="s">
        <v>19</v>
      </c>
      <c r="C320" s="3">
        <v>46</v>
      </c>
      <c r="D320" s="3" t="s">
        <v>334</v>
      </c>
      <c r="E320" s="3" t="s">
        <v>302</v>
      </c>
      <c r="F320" s="3">
        <v>231</v>
      </c>
      <c r="G320" s="3"/>
    </row>
    <row r="321" spans="1:7" ht="15" customHeight="1">
      <c r="A321" s="2" t="s">
        <v>1089</v>
      </c>
      <c r="B321" s="2" t="s">
        <v>21</v>
      </c>
      <c r="C321" s="2">
        <v>46</v>
      </c>
      <c r="D321" s="2" t="s">
        <v>334</v>
      </c>
      <c r="E321" s="2" t="s">
        <v>302</v>
      </c>
      <c r="F321" s="2">
        <v>278</v>
      </c>
      <c r="G321" s="2"/>
    </row>
    <row r="322" spans="1:7" ht="15" customHeight="1">
      <c r="A322" s="3" t="s">
        <v>1090</v>
      </c>
      <c r="B322" s="3" t="s">
        <v>23</v>
      </c>
      <c r="C322" s="3">
        <v>46</v>
      </c>
      <c r="D322" s="3" t="s">
        <v>334</v>
      </c>
      <c r="E322" s="3" t="s">
        <v>302</v>
      </c>
      <c r="F322" s="3">
        <v>277</v>
      </c>
      <c r="G322" s="3"/>
    </row>
    <row r="323" spans="1:7" ht="15" customHeight="1">
      <c r="A323" s="2" t="s">
        <v>1091</v>
      </c>
      <c r="B323" s="2" t="s">
        <v>9</v>
      </c>
      <c r="C323" s="2">
        <v>46</v>
      </c>
      <c r="D323" s="2" t="s">
        <v>334</v>
      </c>
      <c r="E323" s="2" t="s">
        <v>302</v>
      </c>
      <c r="F323" s="2">
        <v>218</v>
      </c>
      <c r="G323" s="2"/>
    </row>
    <row r="324" spans="1:7" ht="15" customHeight="1">
      <c r="A324" s="3" t="s">
        <v>1092</v>
      </c>
      <c r="B324" s="3" t="s">
        <v>13</v>
      </c>
      <c r="C324" s="3">
        <v>46</v>
      </c>
      <c r="D324" s="3" t="s">
        <v>334</v>
      </c>
      <c r="E324" s="3" t="s">
        <v>302</v>
      </c>
      <c r="F324" s="3">
        <v>233</v>
      </c>
      <c r="G324" s="3"/>
    </row>
    <row r="325" spans="1:7" ht="15" customHeight="1">
      <c r="A325" s="2" t="s">
        <v>1093</v>
      </c>
      <c r="B325" s="2" t="s">
        <v>15</v>
      </c>
      <c r="C325" s="2">
        <v>47</v>
      </c>
      <c r="D325" s="2" t="s">
        <v>334</v>
      </c>
      <c r="E325" s="2" t="s">
        <v>302</v>
      </c>
      <c r="F325" s="2">
        <v>266</v>
      </c>
      <c r="G325" s="2"/>
    </row>
    <row r="326" spans="1:7" ht="15" customHeight="1">
      <c r="A326" s="3" t="s">
        <v>1094</v>
      </c>
      <c r="B326" s="3" t="s">
        <v>17</v>
      </c>
      <c r="C326" s="3">
        <v>47</v>
      </c>
      <c r="D326" s="3" t="s">
        <v>334</v>
      </c>
      <c r="E326" s="3" t="s">
        <v>302</v>
      </c>
      <c r="F326" s="3">
        <v>263</v>
      </c>
      <c r="G326" s="3"/>
    </row>
    <row r="327" spans="1:7" ht="15" customHeight="1">
      <c r="A327" s="2" t="s">
        <v>1095</v>
      </c>
      <c r="B327" s="2" t="s">
        <v>19</v>
      </c>
      <c r="C327" s="2">
        <v>47</v>
      </c>
      <c r="D327" s="2" t="s">
        <v>334</v>
      </c>
      <c r="E327" s="2" t="s">
        <v>302</v>
      </c>
      <c r="F327" s="2">
        <v>251</v>
      </c>
      <c r="G327" s="2"/>
    </row>
    <row r="328" spans="1:7" ht="15" customHeight="1">
      <c r="A328" s="3" t="s">
        <v>1096</v>
      </c>
      <c r="B328" s="3" t="s">
        <v>21</v>
      </c>
      <c r="C328" s="3">
        <v>47</v>
      </c>
      <c r="D328" s="3" t="s">
        <v>334</v>
      </c>
      <c r="E328" s="3" t="s">
        <v>302</v>
      </c>
      <c r="F328" s="3">
        <v>250</v>
      </c>
      <c r="G328" s="3"/>
    </row>
    <row r="329" spans="1:7" ht="15" customHeight="1">
      <c r="A329" s="2" t="s">
        <v>1097</v>
      </c>
      <c r="B329" s="2" t="s">
        <v>23</v>
      </c>
      <c r="C329" s="2">
        <v>47</v>
      </c>
      <c r="D329" s="2" t="s">
        <v>334</v>
      </c>
      <c r="E329" s="2" t="s">
        <v>302</v>
      </c>
      <c r="F329" s="2">
        <v>260</v>
      </c>
      <c r="G329" s="2"/>
    </row>
    <row r="330" spans="1:7" ht="15" customHeight="1">
      <c r="A330" s="3" t="s">
        <v>1098</v>
      </c>
      <c r="B330" s="3" t="s">
        <v>9</v>
      </c>
      <c r="C330" s="3">
        <v>47</v>
      </c>
      <c r="D330" s="3" t="s">
        <v>334</v>
      </c>
      <c r="E330" s="3" t="s">
        <v>302</v>
      </c>
      <c r="F330" s="3">
        <v>249</v>
      </c>
      <c r="G330" s="3"/>
    </row>
    <row r="331" spans="1:7" ht="15" customHeight="1">
      <c r="A331" s="2" t="s">
        <v>1099</v>
      </c>
      <c r="B331" s="2" t="s">
        <v>13</v>
      </c>
      <c r="C331" s="2">
        <v>47</v>
      </c>
      <c r="D331" s="2" t="s">
        <v>334</v>
      </c>
      <c r="E331" s="2" t="s">
        <v>302</v>
      </c>
      <c r="F331" s="2">
        <v>240</v>
      </c>
      <c r="G331" s="2"/>
    </row>
    <row r="332" spans="1:7" ht="15" customHeight="1">
      <c r="A332" s="3" t="s">
        <v>1100</v>
      </c>
      <c r="B332" s="3" t="s">
        <v>15</v>
      </c>
      <c r="C332" s="3">
        <v>48</v>
      </c>
      <c r="D332" s="3" t="s">
        <v>334</v>
      </c>
      <c r="E332" s="3" t="s">
        <v>302</v>
      </c>
      <c r="F332" s="3">
        <v>257</v>
      </c>
      <c r="G332" s="3"/>
    </row>
    <row r="333" spans="1:7" ht="15" customHeight="1">
      <c r="A333" s="2" t="s">
        <v>1101</v>
      </c>
      <c r="B333" s="2" t="s">
        <v>17</v>
      </c>
      <c r="C333" s="2">
        <v>48</v>
      </c>
      <c r="D333" s="2" t="s">
        <v>334</v>
      </c>
      <c r="E333" s="2" t="s">
        <v>302</v>
      </c>
      <c r="F333" s="2">
        <v>275</v>
      </c>
      <c r="G333" s="2"/>
    </row>
    <row r="334" spans="1:7" ht="15" customHeight="1">
      <c r="A334" s="3" t="s">
        <v>1102</v>
      </c>
      <c r="B334" s="3" t="s">
        <v>19</v>
      </c>
      <c r="C334" s="3">
        <v>48</v>
      </c>
      <c r="D334" s="3" t="s">
        <v>334</v>
      </c>
      <c r="E334" s="3" t="s">
        <v>302</v>
      </c>
      <c r="F334" s="3">
        <v>221</v>
      </c>
      <c r="G334" s="3"/>
    </row>
    <row r="335" spans="1:7" ht="15" customHeight="1">
      <c r="A335" s="2" t="s">
        <v>1103</v>
      </c>
      <c r="B335" s="2" t="s">
        <v>21</v>
      </c>
      <c r="C335" s="2">
        <v>48</v>
      </c>
      <c r="D335" s="2" t="s">
        <v>334</v>
      </c>
      <c r="E335" s="2" t="s">
        <v>302</v>
      </c>
      <c r="F335" s="2">
        <v>282</v>
      </c>
      <c r="G335" s="2"/>
    </row>
    <row r="336" spans="1:7" ht="15" customHeight="1">
      <c r="A336" s="3" t="s">
        <v>1104</v>
      </c>
      <c r="B336" s="3" t="s">
        <v>23</v>
      </c>
      <c r="C336" s="3">
        <v>48</v>
      </c>
      <c r="D336" s="3" t="s">
        <v>334</v>
      </c>
      <c r="E336" s="3" t="s">
        <v>302</v>
      </c>
      <c r="F336" s="3">
        <v>239</v>
      </c>
      <c r="G336" s="3"/>
    </row>
    <row r="337" spans="1:7" ht="15" customHeight="1">
      <c r="A337" s="2" t="s">
        <v>1105</v>
      </c>
      <c r="B337" s="2" t="s">
        <v>9</v>
      </c>
      <c r="C337" s="2">
        <v>48</v>
      </c>
      <c r="D337" s="2" t="s">
        <v>334</v>
      </c>
      <c r="E337" s="2" t="s">
        <v>302</v>
      </c>
      <c r="F337" s="2">
        <v>230</v>
      </c>
      <c r="G337" s="2"/>
    </row>
    <row r="338" spans="1:7" ht="15" customHeight="1">
      <c r="A338" s="3" t="s">
        <v>1106</v>
      </c>
      <c r="B338" s="3" t="s">
        <v>13</v>
      </c>
      <c r="C338" s="3">
        <v>48</v>
      </c>
      <c r="D338" s="3" t="s">
        <v>365</v>
      </c>
      <c r="E338" s="3" t="s">
        <v>302</v>
      </c>
      <c r="F338" s="3">
        <v>220</v>
      </c>
      <c r="G338" s="3"/>
    </row>
    <row r="339" spans="1:7" ht="15" customHeight="1">
      <c r="A339" s="2" t="s">
        <v>1107</v>
      </c>
      <c r="B339" s="2" t="s">
        <v>15</v>
      </c>
      <c r="C339" s="2">
        <v>49</v>
      </c>
      <c r="D339" s="2" t="s">
        <v>365</v>
      </c>
      <c r="E339" s="2" t="s">
        <v>302</v>
      </c>
      <c r="F339" s="2">
        <v>248</v>
      </c>
      <c r="G339" s="2"/>
    </row>
    <row r="340" spans="1:7" ht="15" customHeight="1">
      <c r="A340" s="3" t="s">
        <v>1108</v>
      </c>
      <c r="B340" s="3" t="s">
        <v>17</v>
      </c>
      <c r="C340" s="3">
        <v>49</v>
      </c>
      <c r="D340" s="3" t="s">
        <v>365</v>
      </c>
      <c r="E340" s="3" t="s">
        <v>302</v>
      </c>
      <c r="F340" s="3">
        <v>285</v>
      </c>
      <c r="G340" s="3"/>
    </row>
    <row r="341" spans="1:7" ht="15" customHeight="1">
      <c r="A341" s="2" t="s">
        <v>1109</v>
      </c>
      <c r="B341" s="2" t="s">
        <v>19</v>
      </c>
      <c r="C341" s="2">
        <v>49</v>
      </c>
      <c r="D341" s="2" t="s">
        <v>365</v>
      </c>
      <c r="E341" s="2" t="s">
        <v>302</v>
      </c>
      <c r="F341" s="2">
        <v>261</v>
      </c>
      <c r="G341" s="2"/>
    </row>
    <row r="342" spans="1:7" ht="15" customHeight="1">
      <c r="A342" s="3" t="s">
        <v>1110</v>
      </c>
      <c r="B342" s="3" t="s">
        <v>21</v>
      </c>
      <c r="C342" s="3">
        <v>49</v>
      </c>
      <c r="D342" s="3" t="s">
        <v>365</v>
      </c>
      <c r="E342" s="3" t="s">
        <v>302</v>
      </c>
      <c r="F342" s="3">
        <v>274</v>
      </c>
      <c r="G342" s="3"/>
    </row>
    <row r="343" spans="1:7" ht="15" customHeight="1">
      <c r="A343" s="2" t="s">
        <v>1111</v>
      </c>
      <c r="B343" s="2" t="s">
        <v>23</v>
      </c>
      <c r="C343" s="2">
        <v>49</v>
      </c>
      <c r="D343" s="2" t="s">
        <v>365</v>
      </c>
      <c r="E343" s="2" t="s">
        <v>302</v>
      </c>
      <c r="F343" s="2">
        <v>269</v>
      </c>
      <c r="G343" s="2"/>
    </row>
    <row r="344" spans="1:7" ht="15" customHeight="1">
      <c r="A344" s="3" t="s">
        <v>1112</v>
      </c>
      <c r="B344" s="3" t="s">
        <v>9</v>
      </c>
      <c r="C344" s="3">
        <v>49</v>
      </c>
      <c r="D344" s="3" t="s">
        <v>365</v>
      </c>
      <c r="E344" s="3" t="s">
        <v>302</v>
      </c>
      <c r="F344" s="3">
        <v>247</v>
      </c>
      <c r="G344" s="3"/>
    </row>
    <row r="345" spans="1:7" ht="15" customHeight="1">
      <c r="A345" s="2" t="s">
        <v>1113</v>
      </c>
      <c r="B345" s="2" t="s">
        <v>13</v>
      </c>
      <c r="C345" s="2">
        <v>49</v>
      </c>
      <c r="D345" s="2" t="s">
        <v>365</v>
      </c>
      <c r="E345" s="2" t="s">
        <v>302</v>
      </c>
      <c r="F345" s="2">
        <v>242</v>
      </c>
      <c r="G345" s="2"/>
    </row>
    <row r="346" spans="1:7" ht="15" customHeight="1">
      <c r="A346" s="3" t="s">
        <v>1114</v>
      </c>
      <c r="B346" s="3" t="s">
        <v>15</v>
      </c>
      <c r="C346" s="3">
        <v>50</v>
      </c>
      <c r="D346" s="3" t="s">
        <v>365</v>
      </c>
      <c r="E346" s="3" t="s">
        <v>302</v>
      </c>
      <c r="F346" s="3">
        <v>252</v>
      </c>
      <c r="G346" s="3"/>
    </row>
    <row r="347" spans="1:7" ht="15" customHeight="1">
      <c r="A347" s="2" t="s">
        <v>1115</v>
      </c>
      <c r="B347" s="2" t="s">
        <v>17</v>
      </c>
      <c r="C347" s="2">
        <v>50</v>
      </c>
      <c r="D347" s="2" t="s">
        <v>365</v>
      </c>
      <c r="E347" s="2" t="s">
        <v>302</v>
      </c>
      <c r="F347" s="2">
        <v>287</v>
      </c>
      <c r="G347" s="2"/>
    </row>
    <row r="348" spans="1:7" ht="15" customHeight="1">
      <c r="A348" s="3" t="s">
        <v>1116</v>
      </c>
      <c r="B348" s="3" t="s">
        <v>19</v>
      </c>
      <c r="C348" s="3">
        <v>50</v>
      </c>
      <c r="D348" s="3" t="s">
        <v>365</v>
      </c>
      <c r="E348" s="3" t="s">
        <v>302</v>
      </c>
      <c r="F348" s="3">
        <v>265</v>
      </c>
      <c r="G348" s="3"/>
    </row>
    <row r="349" spans="1:7" ht="15" customHeight="1">
      <c r="A349" s="2" t="s">
        <v>1117</v>
      </c>
      <c r="B349" s="2" t="s">
        <v>21</v>
      </c>
      <c r="C349" s="2">
        <v>50</v>
      </c>
      <c r="D349" s="2" t="s">
        <v>365</v>
      </c>
      <c r="E349" s="2" t="s">
        <v>302</v>
      </c>
      <c r="F349" s="2">
        <v>250</v>
      </c>
      <c r="G349" s="2"/>
    </row>
    <row r="350" spans="1:7" ht="15" customHeight="1">
      <c r="A350" s="3" t="s">
        <v>1118</v>
      </c>
      <c r="B350" s="3" t="s">
        <v>23</v>
      </c>
      <c r="C350" s="3">
        <v>50</v>
      </c>
      <c r="D350" s="3" t="s">
        <v>365</v>
      </c>
      <c r="E350" s="3" t="s">
        <v>302</v>
      </c>
      <c r="F350" s="3">
        <v>268</v>
      </c>
      <c r="G350" s="3"/>
    </row>
    <row r="351" spans="1:7" ht="15" customHeight="1">
      <c r="A351" s="2" t="s">
        <v>1119</v>
      </c>
      <c r="B351" s="2" t="s">
        <v>9</v>
      </c>
      <c r="C351" s="2">
        <v>50</v>
      </c>
      <c r="D351" s="2" t="s">
        <v>365</v>
      </c>
      <c r="E351" s="2" t="s">
        <v>302</v>
      </c>
      <c r="F351" s="2">
        <v>267</v>
      </c>
      <c r="G351" s="2"/>
    </row>
    <row r="352" spans="1:7" ht="15" customHeight="1">
      <c r="A352" s="3" t="s">
        <v>1120</v>
      </c>
      <c r="B352" s="3" t="s">
        <v>13</v>
      </c>
      <c r="C352" s="3">
        <v>50</v>
      </c>
      <c r="D352" s="3" t="s">
        <v>365</v>
      </c>
      <c r="E352" s="3" t="s">
        <v>302</v>
      </c>
      <c r="F352" s="3">
        <v>258</v>
      </c>
      <c r="G352" s="3"/>
    </row>
    <row r="353" spans="1:7" ht="15" customHeight="1">
      <c r="A353" s="2" t="s">
        <v>1121</v>
      </c>
      <c r="B353" s="2" t="s">
        <v>15</v>
      </c>
      <c r="C353" s="2">
        <v>51</v>
      </c>
      <c r="D353" s="2" t="s">
        <v>365</v>
      </c>
      <c r="E353" s="2" t="s">
        <v>302</v>
      </c>
      <c r="F353" s="2">
        <v>271</v>
      </c>
      <c r="G353" s="2"/>
    </row>
    <row r="354" spans="1:7" ht="15" customHeight="1">
      <c r="A354" s="3" t="s">
        <v>1122</v>
      </c>
      <c r="B354" s="3" t="s">
        <v>17</v>
      </c>
      <c r="C354" s="3">
        <v>51</v>
      </c>
      <c r="D354" s="3" t="s">
        <v>365</v>
      </c>
      <c r="E354" s="3" t="s">
        <v>302</v>
      </c>
      <c r="F354" s="3">
        <v>271</v>
      </c>
      <c r="G354" s="3"/>
    </row>
    <row r="355" spans="1:7" ht="15" customHeight="1">
      <c r="A355" s="2" t="s">
        <v>1123</v>
      </c>
      <c r="B355" s="2" t="s">
        <v>19</v>
      </c>
      <c r="C355" s="2">
        <v>51</v>
      </c>
      <c r="D355" s="2" t="s">
        <v>365</v>
      </c>
      <c r="E355" s="2" t="s">
        <v>302</v>
      </c>
      <c r="F355" s="2">
        <v>272</v>
      </c>
      <c r="G355" s="2"/>
    </row>
    <row r="356" spans="1:7" ht="15" customHeight="1">
      <c r="A356" s="3" t="s">
        <v>1124</v>
      </c>
      <c r="B356" s="3" t="s">
        <v>21</v>
      </c>
      <c r="C356" s="3">
        <v>51</v>
      </c>
      <c r="D356" s="3" t="s">
        <v>365</v>
      </c>
      <c r="E356" s="3" t="s">
        <v>302</v>
      </c>
      <c r="F356" s="3">
        <v>309</v>
      </c>
      <c r="G356" s="3"/>
    </row>
    <row r="357" spans="1:7" ht="15" customHeight="1">
      <c r="A357" s="2" t="s">
        <v>1125</v>
      </c>
      <c r="B357" s="2" t="s">
        <v>23</v>
      </c>
      <c r="C357" s="2">
        <v>51</v>
      </c>
      <c r="D357" s="2" t="s">
        <v>365</v>
      </c>
      <c r="E357" s="2" t="s">
        <v>302</v>
      </c>
      <c r="F357" s="2">
        <v>284</v>
      </c>
      <c r="G357" s="2"/>
    </row>
    <row r="358" spans="1:7" ht="15" customHeight="1">
      <c r="A358" s="3" t="s">
        <v>1126</v>
      </c>
      <c r="B358" s="3" t="s">
        <v>9</v>
      </c>
      <c r="C358" s="3">
        <v>51</v>
      </c>
      <c r="D358" s="3" t="s">
        <v>365</v>
      </c>
      <c r="E358" s="3" t="s">
        <v>302</v>
      </c>
      <c r="F358" s="3">
        <v>255</v>
      </c>
      <c r="G358" s="3"/>
    </row>
    <row r="359" spans="1:7" ht="15" customHeight="1">
      <c r="A359" s="2" t="s">
        <v>1127</v>
      </c>
      <c r="B359" s="2" t="s">
        <v>13</v>
      </c>
      <c r="C359" s="2">
        <v>51</v>
      </c>
      <c r="D359" s="2" t="s">
        <v>365</v>
      </c>
      <c r="E359" s="2" t="s">
        <v>302</v>
      </c>
      <c r="F359" s="2">
        <v>265</v>
      </c>
      <c r="G359" s="2"/>
    </row>
    <row r="360" spans="1:7" ht="15" customHeight="1">
      <c r="A360" s="3" t="s">
        <v>1128</v>
      </c>
      <c r="B360" s="3" t="s">
        <v>15</v>
      </c>
      <c r="C360" s="3">
        <v>52</v>
      </c>
      <c r="D360" s="3" t="s">
        <v>365</v>
      </c>
      <c r="E360" s="3" t="s">
        <v>302</v>
      </c>
      <c r="F360" s="3">
        <v>284</v>
      </c>
      <c r="G360" s="3"/>
    </row>
    <row r="361" spans="1:7" ht="15" customHeight="1">
      <c r="A361" s="2" t="s">
        <v>1129</v>
      </c>
      <c r="B361" s="2" t="s">
        <v>17</v>
      </c>
      <c r="C361" s="2">
        <v>52</v>
      </c>
      <c r="D361" s="2" t="s">
        <v>365</v>
      </c>
      <c r="E361" s="2" t="s">
        <v>302</v>
      </c>
      <c r="F361" s="2">
        <v>277</v>
      </c>
      <c r="G361" s="2"/>
    </row>
    <row r="362" spans="1:7" ht="15" customHeight="1">
      <c r="A362" s="3" t="s">
        <v>1130</v>
      </c>
      <c r="B362" s="3" t="s">
        <v>19</v>
      </c>
      <c r="C362" s="3">
        <v>52</v>
      </c>
      <c r="D362" s="3" t="s">
        <v>365</v>
      </c>
      <c r="E362" s="3" t="s">
        <v>302</v>
      </c>
      <c r="F362" s="3">
        <v>278</v>
      </c>
      <c r="G362" s="3"/>
    </row>
    <row r="363" spans="1:7" ht="15" customHeight="1">
      <c r="A363" s="2" t="s">
        <v>1131</v>
      </c>
      <c r="B363" s="2" t="s">
        <v>21</v>
      </c>
      <c r="C363" s="2">
        <v>52</v>
      </c>
      <c r="D363" s="2" t="s">
        <v>365</v>
      </c>
      <c r="E363" s="2" t="s">
        <v>302</v>
      </c>
      <c r="F363" s="2">
        <v>281</v>
      </c>
      <c r="G363" s="2"/>
    </row>
    <row r="364" spans="1:7" ht="15" customHeight="1">
      <c r="A364" s="3" t="s">
        <v>1132</v>
      </c>
      <c r="B364" s="3" t="s">
        <v>23</v>
      </c>
      <c r="C364" s="3">
        <v>52</v>
      </c>
      <c r="D364" s="3" t="s">
        <v>365</v>
      </c>
      <c r="E364" s="3" t="s">
        <v>302</v>
      </c>
      <c r="F364" s="3">
        <v>282</v>
      </c>
      <c r="G364" s="3"/>
    </row>
    <row r="365" spans="1:7" ht="15" customHeight="1">
      <c r="A365" s="2" t="s">
        <v>1133</v>
      </c>
      <c r="B365" s="2" t="s">
        <v>9</v>
      </c>
      <c r="C365" s="2">
        <v>52</v>
      </c>
      <c r="D365" s="2" t="s">
        <v>365</v>
      </c>
      <c r="E365" s="2" t="s">
        <v>302</v>
      </c>
      <c r="F365" s="2">
        <v>264</v>
      </c>
      <c r="G365" s="2"/>
    </row>
    <row r="366" spans="1:7" ht="15" customHeight="1">
      <c r="A366" s="3" t="s">
        <v>1134</v>
      </c>
      <c r="B366" s="3" t="s">
        <v>13</v>
      </c>
      <c r="C366" s="3">
        <v>52</v>
      </c>
      <c r="D366" s="3" t="s">
        <v>365</v>
      </c>
      <c r="E366" s="3" t="s">
        <v>302</v>
      </c>
      <c r="F366" s="3">
        <v>254</v>
      </c>
      <c r="G366" s="3"/>
    </row>
    <row r="367" spans="1:7" ht="15" customHeight="1">
      <c r="A367" s="2" t="s">
        <v>1135</v>
      </c>
      <c r="B367" s="2" t="s">
        <v>15</v>
      </c>
      <c r="C367" s="2">
        <v>1</v>
      </c>
      <c r="D367" s="2" t="s">
        <v>365</v>
      </c>
      <c r="E367" s="2" t="s">
        <v>302</v>
      </c>
      <c r="F367" s="2">
        <v>295</v>
      </c>
      <c r="G367" s="2"/>
    </row>
    <row r="368" spans="1:7" ht="15" customHeight="1">
      <c r="A368" s="3" t="s">
        <v>1136</v>
      </c>
      <c r="B368" s="3" t="s">
        <v>17</v>
      </c>
      <c r="C368" s="3">
        <v>1</v>
      </c>
      <c r="D368" s="3" t="s">
        <v>365</v>
      </c>
      <c r="E368" s="3" t="s">
        <v>302</v>
      </c>
      <c r="F368" s="3">
        <v>284</v>
      </c>
      <c r="G368" s="3"/>
    </row>
    <row r="371" spans="1:6" ht="15" customHeight="1">
      <c r="A371" s="52" t="s">
        <v>1137</v>
      </c>
      <c r="B371" s="52"/>
      <c r="C371" s="52"/>
      <c r="D371" s="52"/>
      <c r="E371" s="52"/>
      <c r="F371" s="52"/>
    </row>
    <row r="372" spans="1:6" ht="39" customHeight="1">
      <c r="A372" s="1" t="s">
        <v>4</v>
      </c>
      <c r="B372" s="1" t="s">
        <v>397</v>
      </c>
      <c r="C372" s="1" t="s">
        <v>398</v>
      </c>
      <c r="D372" s="1" t="s">
        <v>399</v>
      </c>
      <c r="E372" s="1" t="s">
        <v>400</v>
      </c>
      <c r="F372" s="1" t="s">
        <v>401</v>
      </c>
    </row>
    <row r="373" spans="1:6" ht="15" customHeight="1">
      <c r="A373" s="2" t="s">
        <v>10</v>
      </c>
      <c r="B373" s="2">
        <v>6212</v>
      </c>
      <c r="C373" s="2">
        <v>200.4</v>
      </c>
      <c r="D373" s="2">
        <v>160</v>
      </c>
      <c r="E373" s="2">
        <v>253</v>
      </c>
      <c r="F373" s="2">
        <v>21.2</v>
      </c>
    </row>
    <row r="374" spans="1:6" ht="15" customHeight="1">
      <c r="A374" s="3" t="s">
        <v>49</v>
      </c>
      <c r="B374" s="3">
        <v>6331</v>
      </c>
      <c r="C374" s="3">
        <v>218.3</v>
      </c>
      <c r="D374" s="3">
        <v>182</v>
      </c>
      <c r="E374" s="3">
        <v>255</v>
      </c>
      <c r="F374" s="3">
        <v>19.600000000000001</v>
      </c>
    </row>
    <row r="375" spans="1:6" ht="15" customHeight="1">
      <c r="A375" s="2" t="s">
        <v>78</v>
      </c>
      <c r="B375" s="2">
        <v>7171</v>
      </c>
      <c r="C375" s="2">
        <v>231.3</v>
      </c>
      <c r="D375" s="2">
        <v>205</v>
      </c>
      <c r="E375" s="2">
        <v>261</v>
      </c>
      <c r="F375" s="2">
        <v>17.5</v>
      </c>
    </row>
    <row r="376" spans="1:6" ht="15" customHeight="1">
      <c r="A376" s="3" t="s">
        <v>110</v>
      </c>
      <c r="B376" s="3">
        <v>7552</v>
      </c>
      <c r="C376" s="3">
        <v>251.7</v>
      </c>
      <c r="D376" s="3">
        <v>215</v>
      </c>
      <c r="E376" s="3">
        <v>285</v>
      </c>
      <c r="F376" s="3">
        <v>18.899999999999999</v>
      </c>
    </row>
    <row r="377" spans="1:6" ht="15" customHeight="1">
      <c r="A377" s="2" t="s">
        <v>142</v>
      </c>
      <c r="B377" s="2">
        <v>8296</v>
      </c>
      <c r="C377" s="2">
        <v>267.60000000000002</v>
      </c>
      <c r="D377" s="2">
        <v>218</v>
      </c>
      <c r="E377" s="2">
        <v>315</v>
      </c>
      <c r="F377" s="2">
        <v>19</v>
      </c>
    </row>
    <row r="378" spans="1:6" ht="15" customHeight="1">
      <c r="A378" s="3" t="s">
        <v>174</v>
      </c>
      <c r="B378" s="3">
        <v>8320</v>
      </c>
      <c r="C378" s="3">
        <v>277.3</v>
      </c>
      <c r="D378" s="3">
        <v>240</v>
      </c>
      <c r="E378" s="3">
        <v>314</v>
      </c>
      <c r="F378" s="3">
        <v>19.3</v>
      </c>
    </row>
    <row r="379" spans="1:6" ht="15" customHeight="1">
      <c r="A379" s="2" t="s">
        <v>205</v>
      </c>
      <c r="B379" s="2">
        <v>8437</v>
      </c>
      <c r="C379" s="2">
        <v>272.2</v>
      </c>
      <c r="D379" s="2">
        <v>228</v>
      </c>
      <c r="E379" s="2">
        <v>305</v>
      </c>
      <c r="F379" s="2">
        <v>20.399999999999999</v>
      </c>
    </row>
    <row r="380" spans="1:6" ht="15" customHeight="1">
      <c r="A380" s="3" t="s">
        <v>238</v>
      </c>
      <c r="B380" s="3">
        <v>8247</v>
      </c>
      <c r="C380" s="3">
        <v>266</v>
      </c>
      <c r="D380" s="3">
        <v>223</v>
      </c>
      <c r="E380" s="3">
        <v>304</v>
      </c>
      <c r="F380" s="3">
        <v>21.3</v>
      </c>
    </row>
    <row r="381" spans="1:6" ht="15" customHeight="1">
      <c r="A381" s="2" t="s">
        <v>270</v>
      </c>
      <c r="B381" s="2">
        <v>7382</v>
      </c>
      <c r="C381" s="2">
        <v>246.1</v>
      </c>
      <c r="D381" s="2">
        <v>203</v>
      </c>
      <c r="E381" s="2">
        <v>284</v>
      </c>
      <c r="F381" s="2">
        <v>20.399999999999999</v>
      </c>
    </row>
    <row r="382" spans="1:6" ht="15" customHeight="1">
      <c r="A382" s="3" t="s">
        <v>301</v>
      </c>
      <c r="B382" s="3">
        <v>7335</v>
      </c>
      <c r="C382" s="3">
        <v>236.6</v>
      </c>
      <c r="D382" s="3">
        <v>197</v>
      </c>
      <c r="E382" s="3">
        <v>268</v>
      </c>
      <c r="F382" s="3">
        <v>19.8</v>
      </c>
    </row>
    <row r="383" spans="1:6" ht="15" customHeight="1">
      <c r="A383" s="2" t="s">
        <v>334</v>
      </c>
      <c r="B383" s="2">
        <v>7471</v>
      </c>
      <c r="C383" s="2">
        <v>249</v>
      </c>
      <c r="D383" s="2">
        <v>197</v>
      </c>
      <c r="E383" s="2">
        <v>282</v>
      </c>
      <c r="F383" s="2">
        <v>23.5</v>
      </c>
    </row>
    <row r="384" spans="1:6" ht="15" customHeight="1">
      <c r="A384" s="3" t="s">
        <v>365</v>
      </c>
      <c r="B384" s="3">
        <v>8319</v>
      </c>
      <c r="C384" s="3">
        <v>268.39999999999998</v>
      </c>
      <c r="D384" s="3">
        <v>220</v>
      </c>
      <c r="E384" s="3">
        <v>309</v>
      </c>
      <c r="F384" s="3">
        <v>17.7</v>
      </c>
    </row>
    <row r="385" spans="1:6" ht="15" customHeight="1">
      <c r="A385" s="4" t="s">
        <v>402</v>
      </c>
      <c r="B385" s="4">
        <f>SUM(B373:B384)</f>
        <v>91073</v>
      </c>
      <c r="C385" s="4">
        <f>ROUND(AVERAGE(C373:C384),1)</f>
        <v>248.7</v>
      </c>
      <c r="D385" s="4">
        <f>MIN(D373:D384)</f>
        <v>160</v>
      </c>
      <c r="E385" s="4">
        <f>MAX(E373:E384)</f>
        <v>315</v>
      </c>
      <c r="F385" s="4"/>
    </row>
  </sheetData>
  <mergeCells count="2">
    <mergeCell ref="A1:G1"/>
    <mergeCell ref="A371:F37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0DAB-B705-4C2B-AB36-9D14378CF534}">
  <dimension ref="A4"/>
  <sheetViews>
    <sheetView workbookViewId="0">
      <selection activeCell="T33" sqref="T33"/>
    </sheetView>
  </sheetViews>
  <sheetFormatPr defaultRowHeight="14.4"/>
  <sheetData>
    <row r="4" spans="1:1" ht="18">
      <c r="A4" s="10" t="s">
        <v>1257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64"/>
  <sheetViews>
    <sheetView zoomScaleNormal="100" workbookViewId="0">
      <pane ySplit="3" topLeftCell="A4" activePane="bottomLeft" state="frozen"/>
      <selection pane="bottomLeft" activeCell="B22" sqref="B22"/>
    </sheetView>
  </sheetViews>
  <sheetFormatPr defaultColWidth="8.6640625" defaultRowHeight="14.4"/>
  <cols>
    <col min="1" max="1" width="47" customWidth="1"/>
    <col min="2" max="2" width="22" customWidth="1"/>
    <col min="3" max="3" width="20" customWidth="1"/>
    <col min="4" max="4" width="52" customWidth="1"/>
  </cols>
  <sheetData>
    <row r="1" spans="1:7" ht="31.5" customHeight="1">
      <c r="A1" s="51" t="s">
        <v>1138</v>
      </c>
      <c r="B1" s="51"/>
      <c r="C1" s="51"/>
      <c r="D1" s="51"/>
      <c r="E1" s="51"/>
      <c r="F1" s="51"/>
      <c r="G1" s="51"/>
    </row>
    <row r="2" spans="1:7" ht="15" customHeight="1">
      <c r="A2" s="53" t="s">
        <v>1139</v>
      </c>
      <c r="B2" s="53"/>
      <c r="C2" s="53"/>
      <c r="D2" s="53"/>
      <c r="E2" s="53"/>
      <c r="F2" s="53"/>
      <c r="G2" s="53"/>
    </row>
    <row r="3" spans="1:7" ht="19.5" customHeight="1">
      <c r="A3" s="1" t="s">
        <v>1140</v>
      </c>
      <c r="B3" s="1" t="s">
        <v>1141</v>
      </c>
      <c r="C3" s="1" t="s">
        <v>1142</v>
      </c>
      <c r="D3" s="1" t="s">
        <v>1143</v>
      </c>
    </row>
    <row r="5" spans="1:7" ht="21.75" customHeight="1">
      <c r="A5" s="54" t="s">
        <v>1144</v>
      </c>
      <c r="B5" s="54"/>
      <c r="C5" s="54"/>
      <c r="D5" s="54"/>
    </row>
    <row r="6" spans="1:7" ht="18" customHeight="1">
      <c r="A6" s="5" t="s">
        <v>1145</v>
      </c>
      <c r="B6" s="6" t="s">
        <v>1146</v>
      </c>
      <c r="C6" s="7"/>
      <c r="D6" s="8" t="s">
        <v>1147</v>
      </c>
    </row>
    <row r="7" spans="1:7" ht="18" customHeight="1">
      <c r="A7" s="5" t="s">
        <v>1148</v>
      </c>
      <c r="B7" s="6" t="s">
        <v>1149</v>
      </c>
      <c r="C7" s="7"/>
      <c r="D7" s="8" t="s">
        <v>1150</v>
      </c>
    </row>
    <row r="8" spans="1:7" ht="18" customHeight="1">
      <c r="A8" s="5" t="s">
        <v>1151</v>
      </c>
      <c r="B8" s="6" t="s">
        <v>1152</v>
      </c>
      <c r="C8" s="7"/>
      <c r="D8" s="8" t="s">
        <v>1153</v>
      </c>
    </row>
    <row r="9" spans="1:7" ht="18" customHeight="1">
      <c r="A9" s="5" t="s">
        <v>1154</v>
      </c>
      <c r="B9" s="6" t="s">
        <v>1155</v>
      </c>
      <c r="C9" s="7"/>
      <c r="D9" s="8" t="s">
        <v>1156</v>
      </c>
    </row>
    <row r="11" spans="1:7" ht="21.75" customHeight="1">
      <c r="A11" s="54" t="s">
        <v>1157</v>
      </c>
      <c r="B11" s="54"/>
      <c r="C11" s="54"/>
      <c r="D11" s="54"/>
    </row>
    <row r="12" spans="1:7" ht="18" customHeight="1">
      <c r="A12" s="5" t="s">
        <v>1158</v>
      </c>
      <c r="B12" s="6">
        <v>5</v>
      </c>
      <c r="C12" s="7" t="s">
        <v>1159</v>
      </c>
      <c r="D12" s="8" t="s">
        <v>1160</v>
      </c>
    </row>
    <row r="13" spans="1:7" ht="18" customHeight="1">
      <c r="A13" s="5" t="s">
        <v>1161</v>
      </c>
      <c r="B13" s="6">
        <v>14</v>
      </c>
      <c r="C13" s="7" t="s">
        <v>1159</v>
      </c>
      <c r="D13" s="8" t="s">
        <v>1162</v>
      </c>
    </row>
    <row r="14" spans="1:7" ht="18" customHeight="1">
      <c r="A14" s="5" t="s">
        <v>1163</v>
      </c>
      <c r="B14" s="6">
        <v>9</v>
      </c>
      <c r="C14" s="7" t="s">
        <v>1159</v>
      </c>
      <c r="D14" s="8" t="s">
        <v>1164</v>
      </c>
    </row>
    <row r="15" spans="1:7" ht="18" customHeight="1">
      <c r="A15" s="5" t="s">
        <v>1165</v>
      </c>
      <c r="B15" s="6">
        <v>2</v>
      </c>
      <c r="C15" s="7" t="s">
        <v>1159</v>
      </c>
      <c r="D15" s="8" t="s">
        <v>1166</v>
      </c>
    </row>
    <row r="16" spans="1:7" ht="18" customHeight="1">
      <c r="A16" s="5" t="s">
        <v>1167</v>
      </c>
      <c r="B16" s="6" t="s">
        <v>1168</v>
      </c>
      <c r="C16" s="7"/>
      <c r="D16" s="8" t="s">
        <v>1169</v>
      </c>
    </row>
    <row r="18" spans="1:4" ht="21.75" customHeight="1">
      <c r="A18" s="54" t="s">
        <v>1170</v>
      </c>
      <c r="B18" s="54"/>
      <c r="C18" s="54"/>
      <c r="D18" s="54"/>
    </row>
    <row r="19" spans="1:4" ht="18" customHeight="1">
      <c r="A19" s="5" t="s">
        <v>1171</v>
      </c>
      <c r="B19" s="6">
        <v>150</v>
      </c>
      <c r="C19" s="7" t="s">
        <v>1172</v>
      </c>
      <c r="D19" s="8" t="s">
        <v>1173</v>
      </c>
    </row>
    <row r="20" spans="1:4" ht="18" customHeight="1">
      <c r="A20" s="5" t="s">
        <v>1174</v>
      </c>
      <c r="B20" s="6">
        <v>25</v>
      </c>
      <c r="C20" s="7" t="s">
        <v>1175</v>
      </c>
      <c r="D20" s="8" t="s">
        <v>1176</v>
      </c>
    </row>
    <row r="21" spans="1:4" ht="18" customHeight="1">
      <c r="A21" s="5" t="s">
        <v>1177</v>
      </c>
      <c r="B21" s="6" t="s">
        <v>1178</v>
      </c>
      <c r="C21" s="7" t="s">
        <v>1179</v>
      </c>
      <c r="D21" s="8" t="s">
        <v>1180</v>
      </c>
    </row>
    <row r="22" spans="1:4" ht="18" customHeight="1">
      <c r="A22" s="5" t="s">
        <v>1181</v>
      </c>
      <c r="B22" s="6">
        <v>5</v>
      </c>
      <c r="C22" s="7" t="s">
        <v>1182</v>
      </c>
      <c r="D22" s="8" t="s">
        <v>1183</v>
      </c>
    </row>
    <row r="23" spans="1:4" ht="18" customHeight="1">
      <c r="A23" s="5" t="s">
        <v>1184</v>
      </c>
      <c r="B23" s="6">
        <v>12</v>
      </c>
      <c r="C23" s="7" t="s">
        <v>1185</v>
      </c>
      <c r="D23" s="8" t="s">
        <v>1186</v>
      </c>
    </row>
    <row r="24" spans="1:4" ht="18" customHeight="1">
      <c r="A24" s="5" t="s">
        <v>1187</v>
      </c>
      <c r="B24" s="6" t="s">
        <v>1188</v>
      </c>
      <c r="C24" s="7" t="s">
        <v>1189</v>
      </c>
      <c r="D24" s="8" t="s">
        <v>1190</v>
      </c>
    </row>
    <row r="25" spans="1:4" ht="18" customHeight="1">
      <c r="A25" s="5" t="s">
        <v>1191</v>
      </c>
      <c r="B25" s="6">
        <v>3</v>
      </c>
      <c r="C25" s="7" t="s">
        <v>1175</v>
      </c>
      <c r="D25" s="8" t="s">
        <v>1192</v>
      </c>
    </row>
    <row r="27" spans="1:4" ht="21.75" customHeight="1">
      <c r="A27" s="54" t="s">
        <v>1193</v>
      </c>
      <c r="B27" s="54"/>
      <c r="C27" s="54"/>
      <c r="D27" s="54"/>
    </row>
    <row r="28" spans="1:4" ht="18" customHeight="1">
      <c r="A28" s="5" t="s">
        <v>1194</v>
      </c>
      <c r="B28" s="6" t="s">
        <v>1195</v>
      </c>
      <c r="C28" s="7"/>
      <c r="D28" s="8" t="s">
        <v>1196</v>
      </c>
    </row>
    <row r="29" spans="1:4" ht="18" customHeight="1">
      <c r="A29" s="5" t="s">
        <v>1197</v>
      </c>
      <c r="B29" s="6">
        <f>NORMSINV(B28)</f>
        <v>1.6448536269514715</v>
      </c>
      <c r="C29" s="7"/>
      <c r="D29" s="8" t="s">
        <v>1198</v>
      </c>
    </row>
    <row r="30" spans="1:4" ht="18" customHeight="1">
      <c r="A30" s="5" t="s">
        <v>1199</v>
      </c>
      <c r="B30" s="6">
        <v>36</v>
      </c>
      <c r="C30" s="7" t="s">
        <v>1200</v>
      </c>
      <c r="D30" s="8" t="s">
        <v>1201</v>
      </c>
    </row>
    <row r="31" spans="1:4" ht="18" customHeight="1">
      <c r="A31" s="5" t="s">
        <v>1202</v>
      </c>
      <c r="B31" s="6" t="s">
        <v>1203</v>
      </c>
      <c r="C31" s="7"/>
      <c r="D31" s="8" t="s">
        <v>1204</v>
      </c>
    </row>
    <row r="33" spans="1:4" ht="21.75" customHeight="1">
      <c r="A33" s="54" t="s">
        <v>1205</v>
      </c>
      <c r="B33" s="54"/>
      <c r="C33" s="54"/>
      <c r="D33" s="54"/>
    </row>
    <row r="34" spans="1:4" ht="18" customHeight="1">
      <c r="A34" s="5" t="s">
        <v>1206</v>
      </c>
      <c r="B34" s="6">
        <v>75000</v>
      </c>
      <c r="C34" s="7" t="s">
        <v>1207</v>
      </c>
      <c r="D34" s="8" t="s">
        <v>1208</v>
      </c>
    </row>
    <row r="35" spans="1:4" ht="18" customHeight="1">
      <c r="A35" s="5" t="s">
        <v>1209</v>
      </c>
      <c r="B35" s="6">
        <v>150</v>
      </c>
      <c r="C35" s="7" t="s">
        <v>1172</v>
      </c>
      <c r="D35" s="8" t="s">
        <v>1210</v>
      </c>
    </row>
    <row r="36" spans="1:4" ht="18" customHeight="1">
      <c r="A36" s="5" t="s">
        <v>1211</v>
      </c>
      <c r="B36" s="6">
        <v>5</v>
      </c>
      <c r="C36" s="7" t="s">
        <v>1182</v>
      </c>
      <c r="D36" s="8" t="s">
        <v>1212</v>
      </c>
    </row>
    <row r="37" spans="1:4" ht="18" customHeight="1">
      <c r="A37" s="5" t="s">
        <v>1213</v>
      </c>
      <c r="B37" s="6" t="s">
        <v>1214</v>
      </c>
      <c r="C37" s="7"/>
      <c r="D37" s="8" t="s">
        <v>1215</v>
      </c>
    </row>
    <row r="39" spans="1:4" ht="21.75" customHeight="1">
      <c r="A39" s="55" t="s">
        <v>1216</v>
      </c>
      <c r="B39" s="55"/>
      <c r="C39" s="55"/>
      <c r="D39" s="55"/>
    </row>
    <row r="40" spans="1:4" ht="18" customHeight="1">
      <c r="A40" s="5" t="s">
        <v>1217</v>
      </c>
      <c r="B40" s="6">
        <v>20</v>
      </c>
      <c r="C40" s="7" t="s">
        <v>1218</v>
      </c>
      <c r="D40" s="8" t="s">
        <v>1219</v>
      </c>
    </row>
    <row r="41" spans="1:4" ht="18" customHeight="1">
      <c r="A41" s="5" t="s">
        <v>1220</v>
      </c>
      <c r="B41" s="6">
        <v>30</v>
      </c>
      <c r="C41" s="7" t="s">
        <v>1218</v>
      </c>
      <c r="D41" s="8" t="s">
        <v>1221</v>
      </c>
    </row>
    <row r="42" spans="1:4" ht="18" customHeight="1">
      <c r="A42" s="11" t="s">
        <v>1322</v>
      </c>
      <c r="B42" s="6">
        <v>35</v>
      </c>
      <c r="C42" s="7" t="s">
        <v>1218</v>
      </c>
      <c r="D42" s="13" t="s">
        <v>1323</v>
      </c>
    </row>
    <row r="44" spans="1:4" ht="21.75" customHeight="1">
      <c r="A44" s="54" t="s">
        <v>1222</v>
      </c>
      <c r="B44" s="54"/>
      <c r="C44" s="54"/>
      <c r="D44" s="54"/>
    </row>
    <row r="45" spans="1:4" ht="18" customHeight="1">
      <c r="A45" s="5" t="s">
        <v>1223</v>
      </c>
      <c r="B45" s="6">
        <v>500</v>
      </c>
      <c r="C45" s="7" t="s">
        <v>1224</v>
      </c>
      <c r="D45" s="8" t="s">
        <v>1225</v>
      </c>
    </row>
    <row r="46" spans="1:4" ht="18" customHeight="1">
      <c r="A46" s="5" t="s">
        <v>1226</v>
      </c>
      <c r="B46" s="6">
        <v>30</v>
      </c>
      <c r="C46" s="7" t="s">
        <v>1159</v>
      </c>
      <c r="D46" s="8" t="s">
        <v>1227</v>
      </c>
    </row>
    <row r="47" spans="1:4" ht="18" customHeight="1">
      <c r="A47" s="5" t="s">
        <v>1228</v>
      </c>
      <c r="B47" s="6" t="s">
        <v>1168</v>
      </c>
      <c r="C47" s="7"/>
      <c r="D47" s="8" t="s">
        <v>1229</v>
      </c>
    </row>
    <row r="48" spans="1:4" ht="18" customHeight="1">
      <c r="A48" s="5" t="s">
        <v>1167</v>
      </c>
      <c r="B48" s="6" t="s">
        <v>1168</v>
      </c>
      <c r="C48" s="7"/>
      <c r="D48" s="8" t="s">
        <v>1230</v>
      </c>
    </row>
    <row r="49" spans="1:4" ht="18" customHeight="1">
      <c r="A49" s="5" t="s">
        <v>1231</v>
      </c>
      <c r="B49" s="6" t="s">
        <v>1232</v>
      </c>
      <c r="C49" s="7"/>
      <c r="D49" s="8" t="s">
        <v>1233</v>
      </c>
    </row>
    <row r="50" spans="1:4" ht="18" customHeight="1">
      <c r="A50" s="5" t="s">
        <v>1234</v>
      </c>
      <c r="B50" s="6">
        <v>1500</v>
      </c>
      <c r="C50" s="7" t="s">
        <v>1200</v>
      </c>
      <c r="D50" s="8" t="s">
        <v>1235</v>
      </c>
    </row>
    <row r="53" spans="1:4" ht="21.75" customHeight="1">
      <c r="A53" s="55" t="s">
        <v>1236</v>
      </c>
      <c r="B53" s="55"/>
      <c r="C53" s="55"/>
      <c r="D53" s="55"/>
    </row>
    <row r="54" spans="1:4" ht="18" customHeight="1">
      <c r="A54" s="5" t="s">
        <v>1237</v>
      </c>
      <c r="B54" s="9">
        <f>ROUND(B34/365,0)</f>
        <v>205</v>
      </c>
      <c r="C54" s="7" t="s">
        <v>1238</v>
      </c>
      <c r="D54" s="8" t="s">
        <v>1239</v>
      </c>
    </row>
    <row r="55" spans="1:4" ht="18" customHeight="1">
      <c r="A55" s="11" t="s">
        <v>1280</v>
      </c>
      <c r="B55" s="9">
        <f>ROUND(B54*B14,0)</f>
        <v>1845</v>
      </c>
      <c r="C55" s="12" t="s">
        <v>1200</v>
      </c>
      <c r="D55" s="13" t="s">
        <v>1281</v>
      </c>
    </row>
    <row r="56" spans="1:4" ht="18" customHeight="1">
      <c r="A56" s="11" t="s">
        <v>1282</v>
      </c>
      <c r="B56" s="9">
        <f>ROUND(SQRT((B14*(B30*B30))+((B54*B54)*(B15*B15))),0)</f>
        <v>424</v>
      </c>
      <c r="C56" s="7"/>
      <c r="D56" s="8"/>
    </row>
    <row r="57" spans="1:4" ht="18" customHeight="1">
      <c r="A57" s="5" t="s">
        <v>1240</v>
      </c>
      <c r="B57" s="9">
        <f>ROUND(B29*B56,0)</f>
        <v>697</v>
      </c>
      <c r="C57" s="7" t="s">
        <v>1200</v>
      </c>
      <c r="D57" s="8" t="s">
        <v>1241</v>
      </c>
    </row>
    <row r="58" spans="1:4" ht="18" customHeight="1">
      <c r="A58" s="5" t="s">
        <v>1242</v>
      </c>
      <c r="B58" s="9">
        <f>B55+B57</f>
        <v>2542</v>
      </c>
      <c r="C58" s="7" t="s">
        <v>1200</v>
      </c>
      <c r="D58" s="8" t="s">
        <v>1243</v>
      </c>
    </row>
    <row r="59" spans="1:4" ht="18" customHeight="1">
      <c r="A59" s="5" t="s">
        <v>1244</v>
      </c>
      <c r="B59" s="9">
        <f>ROUND(SQRT((2*B34*B19)/B22),0)</f>
        <v>2121</v>
      </c>
      <c r="C59" s="7" t="s">
        <v>1200</v>
      </c>
      <c r="D59" s="8" t="s">
        <v>1214</v>
      </c>
    </row>
    <row r="60" spans="1:4" ht="18" customHeight="1">
      <c r="A60" s="5" t="s">
        <v>1245</v>
      </c>
      <c r="B60" s="9">
        <f>ROUNDUP(B34/B59,0)</f>
        <v>36</v>
      </c>
      <c r="C60" s="7" t="s">
        <v>1246</v>
      </c>
      <c r="D60" s="8" t="s">
        <v>1247</v>
      </c>
    </row>
    <row r="61" spans="1:4" ht="18" customHeight="1">
      <c r="A61" s="5" t="s">
        <v>1248</v>
      </c>
      <c r="B61" s="9">
        <f>ROUND(B59/2,0)</f>
        <v>1061</v>
      </c>
      <c r="C61" s="7" t="s">
        <v>1200</v>
      </c>
      <c r="D61" s="8" t="s">
        <v>1249</v>
      </c>
    </row>
    <row r="62" spans="1:4" ht="18" customHeight="1">
      <c r="A62" s="5" t="s">
        <v>1250</v>
      </c>
      <c r="B62" s="9">
        <f>ROUND(B60*B19,0)</f>
        <v>5400</v>
      </c>
      <c r="C62" s="7" t="s">
        <v>1251</v>
      </c>
      <c r="D62" s="8" t="s">
        <v>1252</v>
      </c>
    </row>
    <row r="63" spans="1:4" ht="18" customHeight="1">
      <c r="A63" s="5" t="s">
        <v>1253</v>
      </c>
      <c r="B63" s="9">
        <f>B61*B22</f>
        <v>5305</v>
      </c>
      <c r="C63" s="7" t="s">
        <v>1251</v>
      </c>
      <c r="D63" s="8" t="s">
        <v>1254</v>
      </c>
    </row>
    <row r="64" spans="1:4" ht="18" customHeight="1">
      <c r="A64" s="5" t="s">
        <v>1255</v>
      </c>
      <c r="B64" s="9">
        <f>B62+B63</f>
        <v>10705</v>
      </c>
      <c r="C64" s="7" t="s">
        <v>1251</v>
      </c>
      <c r="D64" s="8" t="s">
        <v>1256</v>
      </c>
    </row>
  </sheetData>
  <mergeCells count="10">
    <mergeCell ref="A53:D53"/>
    <mergeCell ref="A27:D27"/>
    <mergeCell ref="A33:D33"/>
    <mergeCell ref="A39:D39"/>
    <mergeCell ref="A44:D44"/>
    <mergeCell ref="A1:G1"/>
    <mergeCell ref="A2:G2"/>
    <mergeCell ref="A5:D5"/>
    <mergeCell ref="A11:D11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0320-47EB-4C24-8DE1-7CA3BA327079}">
  <dimension ref="A1:AB501"/>
  <sheetViews>
    <sheetView topLeftCell="A9" zoomScale="88" workbookViewId="0">
      <selection activeCell="P40" sqref="P40"/>
    </sheetView>
  </sheetViews>
  <sheetFormatPr defaultRowHeight="14.4"/>
  <cols>
    <col min="1" max="1" width="9.21875" customWidth="1"/>
    <col min="2" max="2" width="10.77734375" customWidth="1"/>
    <col min="3" max="3" width="9.77734375" customWidth="1"/>
    <col min="4" max="4" width="13.44140625" customWidth="1"/>
    <col min="5" max="5" width="11.77734375" customWidth="1"/>
    <col min="6" max="6" width="10.77734375" customWidth="1"/>
    <col min="7" max="7" width="11.33203125" customWidth="1"/>
    <col min="8" max="8" width="9.44140625" customWidth="1"/>
    <col min="9" max="9" width="13.6640625" customWidth="1"/>
    <col min="10" max="10" width="12.109375" customWidth="1"/>
    <col min="11" max="11" width="12" customWidth="1"/>
    <col min="12" max="12" width="8.33203125" customWidth="1"/>
    <col min="13" max="13" width="13.6640625" customWidth="1"/>
    <col min="14" max="14" width="12.77734375" customWidth="1"/>
    <col min="15" max="15" width="9.5546875" customWidth="1"/>
    <col min="16" max="16" width="13.33203125" customWidth="1"/>
    <col min="17" max="17" width="6.5546875" customWidth="1"/>
    <col min="18" max="18" width="17.77734375" customWidth="1"/>
    <col min="19" max="19" width="15.33203125" customWidth="1"/>
    <col min="20" max="20" width="12.109375" customWidth="1"/>
    <col min="21" max="21" width="17.109375" bestFit="1" customWidth="1"/>
    <col min="24" max="24" width="6.6640625" customWidth="1"/>
    <col min="25" max="25" width="12.77734375" customWidth="1"/>
    <col min="26" max="26" width="13.33203125" customWidth="1"/>
    <col min="27" max="27" width="11.5546875" customWidth="1"/>
    <col min="28" max="28" width="13.109375" customWidth="1"/>
  </cols>
  <sheetData>
    <row r="1" spans="1:28" ht="21.6" thickTop="1" thickBot="1">
      <c r="A1" s="64" t="s">
        <v>1260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X1" s="29" t="s">
        <v>1289</v>
      </c>
      <c r="Y1" s="29" t="s">
        <v>1290</v>
      </c>
      <c r="Z1" s="29" t="s">
        <v>1291</v>
      </c>
      <c r="AA1" s="29" t="s">
        <v>1292</v>
      </c>
      <c r="AB1" s="29" t="s">
        <v>1293</v>
      </c>
    </row>
    <row r="2" spans="1:28" ht="47.4" thickTop="1">
      <c r="A2" s="25" t="s">
        <v>1259</v>
      </c>
      <c r="B2" s="25" t="s">
        <v>1261</v>
      </c>
      <c r="C2" s="25" t="s">
        <v>1262</v>
      </c>
      <c r="D2" s="25" t="s">
        <v>1263</v>
      </c>
      <c r="E2" s="25" t="s">
        <v>1264</v>
      </c>
      <c r="F2" s="25" t="s">
        <v>1265</v>
      </c>
      <c r="G2" s="25" t="s">
        <v>1266</v>
      </c>
      <c r="H2" s="25" t="s">
        <v>1267</v>
      </c>
      <c r="I2" s="25" t="s">
        <v>1268</v>
      </c>
      <c r="J2" s="25" t="s">
        <v>1269</v>
      </c>
      <c r="K2" s="25" t="s">
        <v>1270</v>
      </c>
      <c r="L2" s="25" t="s">
        <v>1271</v>
      </c>
      <c r="M2" s="25" t="s">
        <v>1272</v>
      </c>
      <c r="N2" s="25" t="s">
        <v>1273</v>
      </c>
      <c r="O2" s="25" t="s">
        <v>1274</v>
      </c>
      <c r="P2" s="25" t="s">
        <v>1275</v>
      </c>
      <c r="X2" s="30">
        <v>1</v>
      </c>
      <c r="Y2" s="31">
        <f ca="1">M33</f>
        <v>120125</v>
      </c>
      <c r="Z2" s="31">
        <f ca="1">N33</f>
        <v>10200</v>
      </c>
      <c r="AA2" s="31">
        <f ca="1">O33</f>
        <v>600</v>
      </c>
      <c r="AB2" s="31">
        <f ca="1">P33</f>
        <v>130925</v>
      </c>
    </row>
    <row r="3" spans="1:28">
      <c r="A3" s="26">
        <v>1</v>
      </c>
      <c r="B3" s="26">
        <v>1500</v>
      </c>
      <c r="C3" s="26">
        <v>0</v>
      </c>
      <c r="D3" s="26">
        <f>B3+C3</f>
        <v>1500</v>
      </c>
      <c r="E3" s="26">
        <f ca="1">ROUND(_xlfn.NORM.INV(RAND(),$V$7,$V$8),0)</f>
        <v>188</v>
      </c>
      <c r="F3" s="26">
        <f ca="1">MIN(E3,D3)</f>
        <v>188</v>
      </c>
      <c r="G3" s="26">
        <f ca="1">D3-F3</f>
        <v>1312</v>
      </c>
      <c r="H3" s="26">
        <f ca="1">E3-F3</f>
        <v>0</v>
      </c>
      <c r="I3" s="26">
        <f ca="1">G3</f>
        <v>1312</v>
      </c>
      <c r="J3" s="26">
        <f ca="1">IF(I3&lt;$V$11,1, 0)</f>
        <v>1</v>
      </c>
      <c r="K3" s="26">
        <f ca="1">ROUND(_xlfn.NORM.INV(RAND(),$V$15,$V$16),0)</f>
        <v>10</v>
      </c>
      <c r="L3" s="26">
        <f ca="1">IF(J3=1,A3+K3+1,0)</f>
        <v>12</v>
      </c>
      <c r="M3" s="27">
        <f ca="1">G3*$V$18</f>
        <v>6560</v>
      </c>
      <c r="N3" s="27">
        <f ca="1">H3*$V$21</f>
        <v>0</v>
      </c>
      <c r="O3" s="28">
        <f ca="1">IF(J3=1, $V$24,0)</f>
        <v>150</v>
      </c>
      <c r="P3" s="27">
        <f ca="1">SUM(M3:O3)</f>
        <v>6710</v>
      </c>
      <c r="X3" s="30">
        <v>2</v>
      </c>
      <c r="Y3" s="31">
        <f t="dataTable" ref="Y3:AB501" dt2D="0" dtr="0" r1="T20" ca="1"/>
        <v>215075</v>
      </c>
      <c r="Z3" s="31">
        <v>15588</v>
      </c>
      <c r="AA3" s="31">
        <v>600</v>
      </c>
      <c r="AB3" s="31">
        <v>231263</v>
      </c>
    </row>
    <row r="4" spans="1:28">
      <c r="A4" s="26">
        <v>2</v>
      </c>
      <c r="B4" s="26">
        <f ca="1">G3</f>
        <v>1312</v>
      </c>
      <c r="C4" s="26">
        <f ca="1">COUNTIF(L$3:L3, A4)*$V$10</f>
        <v>0</v>
      </c>
      <c r="D4" s="26">
        <f ca="1">B4+C4</f>
        <v>1312</v>
      </c>
      <c r="E4" s="26">
        <f t="shared" ref="E4:E32" ca="1" si="0">ROUND(_xlfn.NORM.INV(RAND(),$V$7,$V$8),0)</f>
        <v>243</v>
      </c>
      <c r="F4" s="26">
        <f t="shared" ref="F4:F32" ca="1" si="1">MIN(E4,D4)</f>
        <v>243</v>
      </c>
      <c r="G4" s="26">
        <f ca="1">D4-F4</f>
        <v>1069</v>
      </c>
      <c r="H4" s="26">
        <f t="shared" ref="H4:H32" ca="1" si="2">E4-F4</f>
        <v>0</v>
      </c>
      <c r="I4" s="26">
        <f ca="1">I3-F4+J3*$V$10</f>
        <v>3190</v>
      </c>
      <c r="J4" s="26">
        <f ca="1">IF(I4&lt;$V$11,1, 0)</f>
        <v>0</v>
      </c>
      <c r="K4" s="26">
        <f t="shared" ref="K4:K32" ca="1" si="3">ROUND(_xlfn.NORM.INV(RAND(),$V$15,$V$16),0)</f>
        <v>9</v>
      </c>
      <c r="L4" s="26">
        <f t="shared" ref="L4:L32" ca="1" si="4">IF(J4=1,A4+K4+1,0)</f>
        <v>0</v>
      </c>
      <c r="M4" s="27">
        <f t="shared" ref="M4:M32" ca="1" si="5">G4*$V$18</f>
        <v>5345</v>
      </c>
      <c r="N4" s="27">
        <f t="shared" ref="N4:N32" ca="1" si="6">H4*$V$21</f>
        <v>0</v>
      </c>
      <c r="O4" s="28">
        <f t="shared" ref="O4:O32" ca="1" si="7">IF(J4=1, $V$24,0)</f>
        <v>0</v>
      </c>
      <c r="P4" s="27">
        <f t="shared" ref="P4:P32" ca="1" si="8">SUM(M4:O4)</f>
        <v>5345</v>
      </c>
      <c r="X4" s="30">
        <v>3</v>
      </c>
      <c r="Y4" s="31">
        <v>187570</v>
      </c>
      <c r="Z4" s="31">
        <v>10164</v>
      </c>
      <c r="AA4" s="31">
        <v>600</v>
      </c>
      <c r="AB4" s="31">
        <v>198334</v>
      </c>
    </row>
    <row r="5" spans="1:28">
      <c r="A5" s="26">
        <v>3</v>
      </c>
      <c r="B5" s="26">
        <f ca="1">G4</f>
        <v>1069</v>
      </c>
      <c r="C5" s="26">
        <f ca="1">COUNTIF(L$3:L4, A5)*$V$10</f>
        <v>0</v>
      </c>
      <c r="D5" s="26">
        <f ca="1">B5+C5</f>
        <v>1069</v>
      </c>
      <c r="E5" s="26">
        <f t="shared" ca="1" si="0"/>
        <v>192</v>
      </c>
      <c r="F5" s="26">
        <f t="shared" ca="1" si="1"/>
        <v>192</v>
      </c>
      <c r="G5" s="26">
        <f ca="1">D5-F5</f>
        <v>877</v>
      </c>
      <c r="H5" s="26">
        <f t="shared" ca="1" si="2"/>
        <v>0</v>
      </c>
      <c r="I5" s="26">
        <f ca="1">I4-F5+J4*$V$10</f>
        <v>2998</v>
      </c>
      <c r="J5" s="26">
        <f ca="1">IF(I5&lt;$V$11,1, 0)</f>
        <v>0</v>
      </c>
      <c r="K5" s="26">
        <f t="shared" ca="1" si="3"/>
        <v>7</v>
      </c>
      <c r="L5" s="26">
        <f t="shared" ca="1" si="4"/>
        <v>0</v>
      </c>
      <c r="M5" s="27">
        <f t="shared" ca="1" si="5"/>
        <v>4385</v>
      </c>
      <c r="N5" s="27">
        <f t="shared" ca="1" si="6"/>
        <v>0</v>
      </c>
      <c r="O5" s="28">
        <f t="shared" ca="1" si="7"/>
        <v>0</v>
      </c>
      <c r="P5" s="27">
        <f t="shared" ca="1" si="8"/>
        <v>4385</v>
      </c>
      <c r="X5" s="30">
        <v>4</v>
      </c>
      <c r="Y5" s="31">
        <v>236245</v>
      </c>
      <c r="Z5" s="31">
        <v>17580</v>
      </c>
      <c r="AA5" s="31">
        <v>600</v>
      </c>
      <c r="AB5" s="31">
        <v>254425</v>
      </c>
    </row>
    <row r="6" spans="1:28" ht="17.399999999999999">
      <c r="A6" s="26">
        <v>4</v>
      </c>
      <c r="B6" s="26">
        <f t="shared" ref="B6:B32" ca="1" si="9">G5</f>
        <v>877</v>
      </c>
      <c r="C6" s="26">
        <f ca="1">COUNTIF(L$3:L5, A6)*$V$10</f>
        <v>0</v>
      </c>
      <c r="D6" s="26">
        <f t="shared" ref="D6:D32" ca="1" si="10">B6+C6</f>
        <v>877</v>
      </c>
      <c r="E6" s="26">
        <f t="shared" ca="1" si="0"/>
        <v>219</v>
      </c>
      <c r="F6" s="26">
        <f t="shared" ca="1" si="1"/>
        <v>219</v>
      </c>
      <c r="G6" s="26">
        <f t="shared" ref="G6:G32" ca="1" si="11">D6-F6</f>
        <v>658</v>
      </c>
      <c r="H6" s="26">
        <f t="shared" ca="1" si="2"/>
        <v>0</v>
      </c>
      <c r="I6" s="26">
        <f t="shared" ref="I6:I32" ca="1" si="12">I5-F6+J5*$V$10</f>
        <v>2779</v>
      </c>
      <c r="J6" s="26">
        <f t="shared" ref="J6:J32" ca="1" si="13">IF(I6&lt;$V$11,1, 0)</f>
        <v>0</v>
      </c>
      <c r="K6" s="26">
        <f t="shared" ca="1" si="3"/>
        <v>9</v>
      </c>
      <c r="L6" s="26">
        <f t="shared" ca="1" si="4"/>
        <v>0</v>
      </c>
      <c r="M6" s="27">
        <f t="shared" ca="1" si="5"/>
        <v>3290</v>
      </c>
      <c r="N6" s="27">
        <f t="shared" ca="1" si="6"/>
        <v>0</v>
      </c>
      <c r="O6" s="28">
        <f t="shared" ca="1" si="7"/>
        <v>0</v>
      </c>
      <c r="P6" s="27">
        <f t="shared" ca="1" si="8"/>
        <v>3290</v>
      </c>
      <c r="T6" s="32" t="s">
        <v>1287</v>
      </c>
      <c r="U6" s="14"/>
      <c r="V6" s="14"/>
      <c r="X6" s="30">
        <v>5</v>
      </c>
      <c r="Y6" s="31">
        <v>136895</v>
      </c>
      <c r="Z6" s="31">
        <v>13596</v>
      </c>
      <c r="AA6" s="31">
        <v>600</v>
      </c>
      <c r="AB6" s="31">
        <v>151091</v>
      </c>
    </row>
    <row r="7" spans="1:28" ht="15.6">
      <c r="A7" s="26">
        <v>5</v>
      </c>
      <c r="B7" s="26">
        <f t="shared" ca="1" si="9"/>
        <v>658</v>
      </c>
      <c r="C7" s="26">
        <f ca="1">COUNTIF(L$3:L6, A7)*$V$10</f>
        <v>0</v>
      </c>
      <c r="D7" s="26">
        <f t="shared" ca="1" si="10"/>
        <v>658</v>
      </c>
      <c r="E7" s="26">
        <f t="shared" ca="1" si="0"/>
        <v>232</v>
      </c>
      <c r="F7" s="26">
        <f t="shared" ca="1" si="1"/>
        <v>232</v>
      </c>
      <c r="G7" s="26">
        <f t="shared" ca="1" si="11"/>
        <v>426</v>
      </c>
      <c r="H7" s="26">
        <f t="shared" ca="1" si="2"/>
        <v>0</v>
      </c>
      <c r="I7" s="26">
        <f t="shared" ca="1" si="12"/>
        <v>2547</v>
      </c>
      <c r="J7" s="26">
        <f t="shared" ca="1" si="13"/>
        <v>0</v>
      </c>
      <c r="K7" s="26">
        <f t="shared" ca="1" si="3"/>
        <v>10</v>
      </c>
      <c r="L7" s="26">
        <f t="shared" ca="1" si="4"/>
        <v>0</v>
      </c>
      <c r="M7" s="27">
        <f t="shared" ca="1" si="5"/>
        <v>2130</v>
      </c>
      <c r="N7" s="27">
        <f t="shared" ca="1" si="6"/>
        <v>0</v>
      </c>
      <c r="O7" s="28">
        <f t="shared" ca="1" si="7"/>
        <v>0</v>
      </c>
      <c r="P7" s="27">
        <f t="shared" ca="1" si="8"/>
        <v>2130</v>
      </c>
      <c r="T7" s="65" t="s">
        <v>1288</v>
      </c>
      <c r="U7" s="66"/>
      <c r="V7" s="24">
        <v>231</v>
      </c>
      <c r="X7" s="30">
        <v>6</v>
      </c>
      <c r="Y7" s="31">
        <v>201050</v>
      </c>
      <c r="Z7" s="31">
        <v>9972</v>
      </c>
      <c r="AA7" s="31">
        <v>600</v>
      </c>
      <c r="AB7" s="31">
        <v>211622</v>
      </c>
    </row>
    <row r="8" spans="1:28" ht="15.6">
      <c r="A8" s="26">
        <v>6</v>
      </c>
      <c r="B8" s="26">
        <f t="shared" ca="1" si="9"/>
        <v>426</v>
      </c>
      <c r="C8" s="26">
        <f ca="1">COUNTIF(L$3:L7, A8)*$V$10</f>
        <v>0</v>
      </c>
      <c r="D8" s="26">
        <f t="shared" ca="1" si="10"/>
        <v>426</v>
      </c>
      <c r="E8" s="26">
        <f t="shared" ca="1" si="0"/>
        <v>215</v>
      </c>
      <c r="F8" s="26">
        <f t="shared" ca="1" si="1"/>
        <v>215</v>
      </c>
      <c r="G8" s="26">
        <f t="shared" ca="1" si="11"/>
        <v>211</v>
      </c>
      <c r="H8" s="26">
        <f t="shared" ca="1" si="2"/>
        <v>0</v>
      </c>
      <c r="I8" s="26">
        <f t="shared" ca="1" si="12"/>
        <v>2332</v>
      </c>
      <c r="J8" s="26">
        <f t="shared" ca="1" si="13"/>
        <v>1</v>
      </c>
      <c r="K8" s="26">
        <f t="shared" ca="1" si="3"/>
        <v>14</v>
      </c>
      <c r="L8" s="26">
        <f t="shared" ca="1" si="4"/>
        <v>21</v>
      </c>
      <c r="M8" s="27">
        <f t="shared" ca="1" si="5"/>
        <v>1055</v>
      </c>
      <c r="N8" s="27">
        <f t="shared" ca="1" si="6"/>
        <v>0</v>
      </c>
      <c r="O8" s="28">
        <f t="shared" ca="1" si="7"/>
        <v>150</v>
      </c>
      <c r="P8" s="27">
        <f t="shared" ca="1" si="8"/>
        <v>1205</v>
      </c>
      <c r="T8" s="67" t="s">
        <v>1286</v>
      </c>
      <c r="U8" s="68"/>
      <c r="V8" s="23">
        <v>36</v>
      </c>
      <c r="X8" s="30">
        <v>7</v>
      </c>
      <c r="Y8" s="31">
        <v>180205</v>
      </c>
      <c r="Z8" s="31">
        <v>11496</v>
      </c>
      <c r="AA8" s="31">
        <v>600</v>
      </c>
      <c r="AB8" s="31">
        <v>192301</v>
      </c>
    </row>
    <row r="9" spans="1:28" ht="15" thickBot="1">
      <c r="A9" s="26">
        <v>7</v>
      </c>
      <c r="B9" s="26">
        <f t="shared" ca="1" si="9"/>
        <v>211</v>
      </c>
      <c r="C9" s="26">
        <f ca="1">COUNTIF(L$3:L8, A9)*$V$10</f>
        <v>0</v>
      </c>
      <c r="D9" s="26">
        <f t="shared" ca="1" si="10"/>
        <v>211</v>
      </c>
      <c r="E9" s="26">
        <f t="shared" ca="1" si="0"/>
        <v>223</v>
      </c>
      <c r="F9" s="26">
        <f t="shared" ca="1" si="1"/>
        <v>211</v>
      </c>
      <c r="G9" s="26">
        <f t="shared" ca="1" si="11"/>
        <v>0</v>
      </c>
      <c r="H9" s="26">
        <f t="shared" ca="1" si="2"/>
        <v>12</v>
      </c>
      <c r="I9" s="26">
        <f t="shared" ca="1" si="12"/>
        <v>4242</v>
      </c>
      <c r="J9" s="26">
        <f t="shared" ca="1" si="13"/>
        <v>0</v>
      </c>
      <c r="K9" s="26">
        <f t="shared" ca="1" si="3"/>
        <v>8</v>
      </c>
      <c r="L9" s="26">
        <f t="shared" ca="1" si="4"/>
        <v>0</v>
      </c>
      <c r="M9" s="27">
        <f t="shared" ca="1" si="5"/>
        <v>0</v>
      </c>
      <c r="N9" s="27">
        <f t="shared" ca="1" si="6"/>
        <v>144</v>
      </c>
      <c r="O9" s="28">
        <f t="shared" ca="1" si="7"/>
        <v>0</v>
      </c>
      <c r="P9" s="27">
        <f t="shared" ca="1" si="8"/>
        <v>144</v>
      </c>
      <c r="T9" s="14"/>
      <c r="U9" s="14"/>
      <c r="V9" s="14"/>
      <c r="X9" s="30">
        <v>8</v>
      </c>
      <c r="Y9" s="31">
        <v>160985</v>
      </c>
      <c r="Z9" s="31">
        <v>13248</v>
      </c>
      <c r="AA9" s="31">
        <v>600</v>
      </c>
      <c r="AB9" s="31">
        <v>174833</v>
      </c>
    </row>
    <row r="10" spans="1:28" ht="16.2" thickBot="1">
      <c r="A10" s="26">
        <v>8</v>
      </c>
      <c r="B10" s="26">
        <f t="shared" ca="1" si="9"/>
        <v>0</v>
      </c>
      <c r="C10" s="26">
        <f ca="1">COUNTIF(L$3:L9, A10)*$V$10</f>
        <v>0</v>
      </c>
      <c r="D10" s="26">
        <f t="shared" ca="1" si="10"/>
        <v>0</v>
      </c>
      <c r="E10" s="26">
        <f t="shared" ca="1" si="0"/>
        <v>187</v>
      </c>
      <c r="F10" s="26">
        <f t="shared" ca="1" si="1"/>
        <v>0</v>
      </c>
      <c r="G10" s="26">
        <f t="shared" ca="1" si="11"/>
        <v>0</v>
      </c>
      <c r="H10" s="26">
        <f t="shared" ca="1" si="2"/>
        <v>187</v>
      </c>
      <c r="I10" s="26">
        <f t="shared" ca="1" si="12"/>
        <v>4242</v>
      </c>
      <c r="J10" s="26">
        <f t="shared" ca="1" si="13"/>
        <v>0</v>
      </c>
      <c r="K10" s="26">
        <f t="shared" ca="1" si="3"/>
        <v>8</v>
      </c>
      <c r="L10" s="26">
        <f t="shared" ca="1" si="4"/>
        <v>0</v>
      </c>
      <c r="M10" s="27">
        <f t="shared" ca="1" si="5"/>
        <v>0</v>
      </c>
      <c r="N10" s="27">
        <f t="shared" ca="1" si="6"/>
        <v>2244</v>
      </c>
      <c r="O10" s="28">
        <f t="shared" ca="1" si="7"/>
        <v>0</v>
      </c>
      <c r="P10" s="27">
        <f t="shared" ca="1" si="8"/>
        <v>2244</v>
      </c>
      <c r="T10" s="62" t="s">
        <v>1276</v>
      </c>
      <c r="U10" s="63"/>
      <c r="V10" s="15">
        <v>2121</v>
      </c>
      <c r="X10" s="30">
        <v>9</v>
      </c>
      <c r="Y10" s="31">
        <v>228420</v>
      </c>
      <c r="Z10" s="31">
        <v>8004</v>
      </c>
      <c r="AA10" s="31">
        <v>600</v>
      </c>
      <c r="AB10" s="31">
        <v>237024</v>
      </c>
    </row>
    <row r="11" spans="1:28" ht="16.2" thickBot="1">
      <c r="A11" s="26">
        <v>9</v>
      </c>
      <c r="B11" s="26">
        <f t="shared" ca="1" si="9"/>
        <v>0</v>
      </c>
      <c r="C11" s="26">
        <f ca="1">COUNTIF(L$3:L10, A11)*$V$10</f>
        <v>0</v>
      </c>
      <c r="D11" s="26">
        <f t="shared" ca="1" si="10"/>
        <v>0</v>
      </c>
      <c r="E11" s="26">
        <f t="shared" ca="1" si="0"/>
        <v>232</v>
      </c>
      <c r="F11" s="26">
        <f t="shared" ca="1" si="1"/>
        <v>0</v>
      </c>
      <c r="G11" s="26">
        <f t="shared" ca="1" si="11"/>
        <v>0</v>
      </c>
      <c r="H11" s="26">
        <f t="shared" ca="1" si="2"/>
        <v>232</v>
      </c>
      <c r="I11" s="26">
        <f t="shared" ca="1" si="12"/>
        <v>4242</v>
      </c>
      <c r="J11" s="26">
        <f t="shared" ca="1" si="13"/>
        <v>0</v>
      </c>
      <c r="K11" s="26">
        <f t="shared" ca="1" si="3"/>
        <v>8</v>
      </c>
      <c r="L11" s="26">
        <f t="shared" ca="1" si="4"/>
        <v>0</v>
      </c>
      <c r="M11" s="27">
        <f t="shared" ca="1" si="5"/>
        <v>0</v>
      </c>
      <c r="N11" s="27">
        <f t="shared" ca="1" si="6"/>
        <v>2784</v>
      </c>
      <c r="O11" s="28">
        <f t="shared" ca="1" si="7"/>
        <v>0</v>
      </c>
      <c r="P11" s="27">
        <f t="shared" ca="1" si="8"/>
        <v>2784</v>
      </c>
      <c r="T11" s="60" t="s">
        <v>1277</v>
      </c>
      <c r="U11" s="61"/>
      <c r="V11" s="16">
        <v>2542</v>
      </c>
      <c r="X11" s="30">
        <v>10</v>
      </c>
      <c r="Y11" s="31">
        <v>215515</v>
      </c>
      <c r="Z11" s="31">
        <v>12396</v>
      </c>
      <c r="AA11" s="31">
        <v>600</v>
      </c>
      <c r="AB11" s="31">
        <v>228511</v>
      </c>
    </row>
    <row r="12" spans="1:28" ht="15" thickBot="1">
      <c r="A12" s="26">
        <v>10</v>
      </c>
      <c r="B12" s="26">
        <f t="shared" ca="1" si="9"/>
        <v>0</v>
      </c>
      <c r="C12" s="26">
        <f ca="1">COUNTIF(L$3:L11, A12)*$V$10</f>
        <v>0</v>
      </c>
      <c r="D12" s="26">
        <f t="shared" ca="1" si="10"/>
        <v>0</v>
      </c>
      <c r="E12" s="26">
        <f t="shared" ca="1" si="0"/>
        <v>257</v>
      </c>
      <c r="F12" s="26">
        <f t="shared" ca="1" si="1"/>
        <v>0</v>
      </c>
      <c r="G12" s="26">
        <f t="shared" ca="1" si="11"/>
        <v>0</v>
      </c>
      <c r="H12" s="26">
        <f t="shared" ca="1" si="2"/>
        <v>257</v>
      </c>
      <c r="I12" s="26">
        <f t="shared" ca="1" si="12"/>
        <v>4242</v>
      </c>
      <c r="J12" s="26">
        <f t="shared" ca="1" si="13"/>
        <v>0</v>
      </c>
      <c r="K12" s="26">
        <f t="shared" ca="1" si="3"/>
        <v>9</v>
      </c>
      <c r="L12" s="26">
        <f t="shared" ca="1" si="4"/>
        <v>0</v>
      </c>
      <c r="M12" s="27">
        <f t="shared" ca="1" si="5"/>
        <v>0</v>
      </c>
      <c r="N12" s="27">
        <f t="shared" ca="1" si="6"/>
        <v>3084</v>
      </c>
      <c r="O12" s="28">
        <f t="shared" ca="1" si="7"/>
        <v>0</v>
      </c>
      <c r="P12" s="27">
        <f t="shared" ca="1" si="8"/>
        <v>3084</v>
      </c>
      <c r="T12" s="17"/>
      <c r="U12" s="17"/>
      <c r="V12" s="17"/>
      <c r="X12" s="30">
        <v>11</v>
      </c>
      <c r="Y12" s="31">
        <v>212690</v>
      </c>
      <c r="Z12" s="31">
        <v>10812</v>
      </c>
      <c r="AA12" s="31">
        <v>600</v>
      </c>
      <c r="AB12" s="31">
        <v>224102</v>
      </c>
    </row>
    <row r="13" spans="1:28" ht="16.2" thickBot="1">
      <c r="A13" s="26">
        <v>11</v>
      </c>
      <c r="B13" s="26">
        <f t="shared" ca="1" si="9"/>
        <v>0</v>
      </c>
      <c r="C13" s="26">
        <f ca="1">COUNTIF(L$3:L12, A13)*$V$10</f>
        <v>0</v>
      </c>
      <c r="D13" s="26">
        <f t="shared" ca="1" si="10"/>
        <v>0</v>
      </c>
      <c r="E13" s="26">
        <f t="shared" ca="1" si="0"/>
        <v>162</v>
      </c>
      <c r="F13" s="26">
        <f t="shared" ca="1" si="1"/>
        <v>0</v>
      </c>
      <c r="G13" s="26">
        <f t="shared" ca="1" si="11"/>
        <v>0</v>
      </c>
      <c r="H13" s="26">
        <f t="shared" ca="1" si="2"/>
        <v>162</v>
      </c>
      <c r="I13" s="26">
        <f t="shared" ca="1" si="12"/>
        <v>4242</v>
      </c>
      <c r="J13" s="26">
        <f t="shared" ca="1" si="13"/>
        <v>0</v>
      </c>
      <c r="K13" s="26">
        <f t="shared" ca="1" si="3"/>
        <v>11</v>
      </c>
      <c r="L13" s="26">
        <f t="shared" ca="1" si="4"/>
        <v>0</v>
      </c>
      <c r="M13" s="27">
        <f t="shared" ca="1" si="5"/>
        <v>0</v>
      </c>
      <c r="N13" s="27">
        <f t="shared" ca="1" si="6"/>
        <v>1944</v>
      </c>
      <c r="O13" s="28">
        <f t="shared" ca="1" si="7"/>
        <v>0</v>
      </c>
      <c r="P13" s="27">
        <f t="shared" ca="1" si="8"/>
        <v>1944</v>
      </c>
      <c r="T13" s="62" t="s">
        <v>1278</v>
      </c>
      <c r="U13" s="63"/>
      <c r="V13" s="18">
        <v>5</v>
      </c>
      <c r="X13" s="30">
        <v>12</v>
      </c>
      <c r="Y13" s="31">
        <v>189725</v>
      </c>
      <c r="Z13" s="31">
        <v>14376</v>
      </c>
      <c r="AA13" s="31">
        <v>600</v>
      </c>
      <c r="AB13" s="31">
        <v>204701</v>
      </c>
    </row>
    <row r="14" spans="1:28" ht="16.2" thickBot="1">
      <c r="A14" s="26">
        <v>12</v>
      </c>
      <c r="B14" s="26">
        <f t="shared" ca="1" si="9"/>
        <v>0</v>
      </c>
      <c r="C14" s="26">
        <f ca="1">COUNTIF(L$3:L13, A14)*$V$10</f>
        <v>2121</v>
      </c>
      <c r="D14" s="26">
        <f t="shared" ca="1" si="10"/>
        <v>2121</v>
      </c>
      <c r="E14" s="26">
        <f t="shared" ca="1" si="0"/>
        <v>214</v>
      </c>
      <c r="F14" s="26">
        <f t="shared" ca="1" si="1"/>
        <v>214</v>
      </c>
      <c r="G14" s="26">
        <f t="shared" ca="1" si="11"/>
        <v>1907</v>
      </c>
      <c r="H14" s="26">
        <f t="shared" ca="1" si="2"/>
        <v>0</v>
      </c>
      <c r="I14" s="26">
        <f t="shared" ca="1" si="12"/>
        <v>4028</v>
      </c>
      <c r="J14" s="26">
        <f t="shared" ca="1" si="13"/>
        <v>0</v>
      </c>
      <c r="K14" s="26">
        <f t="shared" ca="1" si="3"/>
        <v>8</v>
      </c>
      <c r="L14" s="26">
        <f t="shared" ca="1" si="4"/>
        <v>0</v>
      </c>
      <c r="M14" s="27">
        <f t="shared" ca="1" si="5"/>
        <v>9535</v>
      </c>
      <c r="N14" s="27">
        <f t="shared" ca="1" si="6"/>
        <v>0</v>
      </c>
      <c r="O14" s="28">
        <f t="shared" ca="1" si="7"/>
        <v>0</v>
      </c>
      <c r="P14" s="27">
        <f t="shared" ca="1" si="8"/>
        <v>9535</v>
      </c>
      <c r="T14" s="56" t="s">
        <v>1283</v>
      </c>
      <c r="U14" s="57"/>
      <c r="V14" s="19">
        <v>14</v>
      </c>
      <c r="X14" s="30">
        <v>13</v>
      </c>
      <c r="Y14" s="31">
        <v>247540</v>
      </c>
      <c r="Z14" s="31">
        <v>0</v>
      </c>
      <c r="AA14" s="31">
        <v>600</v>
      </c>
      <c r="AB14" s="31">
        <v>248140</v>
      </c>
    </row>
    <row r="15" spans="1:28" ht="16.2" thickBot="1">
      <c r="A15" s="26">
        <v>13</v>
      </c>
      <c r="B15" s="26">
        <f t="shared" ca="1" si="9"/>
        <v>1907</v>
      </c>
      <c r="C15" s="26">
        <f ca="1">COUNTIF(L$3:L14, A15)*$V$10</f>
        <v>0</v>
      </c>
      <c r="D15" s="26">
        <f t="shared" ca="1" si="10"/>
        <v>1907</v>
      </c>
      <c r="E15" s="26">
        <f t="shared" ca="1" si="0"/>
        <v>192</v>
      </c>
      <c r="F15" s="26">
        <f t="shared" ca="1" si="1"/>
        <v>192</v>
      </c>
      <c r="G15" s="26">
        <f t="shared" ca="1" si="11"/>
        <v>1715</v>
      </c>
      <c r="H15" s="26">
        <f t="shared" ca="1" si="2"/>
        <v>0</v>
      </c>
      <c r="I15" s="26">
        <f t="shared" ca="1" si="12"/>
        <v>3836</v>
      </c>
      <c r="J15" s="26">
        <f t="shared" ca="1" si="13"/>
        <v>0</v>
      </c>
      <c r="K15" s="26">
        <f t="shared" ca="1" si="3"/>
        <v>12</v>
      </c>
      <c r="L15" s="26">
        <f t="shared" ca="1" si="4"/>
        <v>0</v>
      </c>
      <c r="M15" s="27">
        <f t="shared" ca="1" si="5"/>
        <v>8575</v>
      </c>
      <c r="N15" s="27">
        <f t="shared" ca="1" si="6"/>
        <v>0</v>
      </c>
      <c r="O15" s="28">
        <f t="shared" ca="1" si="7"/>
        <v>0</v>
      </c>
      <c r="P15" s="27">
        <f t="shared" ca="1" si="8"/>
        <v>8575</v>
      </c>
      <c r="T15" s="58" t="s">
        <v>1284</v>
      </c>
      <c r="U15" s="59"/>
      <c r="V15" s="19">
        <v>9</v>
      </c>
      <c r="X15" s="30">
        <v>14</v>
      </c>
      <c r="Y15" s="31">
        <v>205075</v>
      </c>
      <c r="Z15" s="31">
        <v>9444</v>
      </c>
      <c r="AA15" s="31">
        <v>600</v>
      </c>
      <c r="AB15" s="31">
        <v>215119</v>
      </c>
    </row>
    <row r="16" spans="1:28" ht="16.2" thickBot="1">
      <c r="A16" s="26">
        <v>14</v>
      </c>
      <c r="B16" s="26">
        <f t="shared" ca="1" si="9"/>
        <v>1715</v>
      </c>
      <c r="C16" s="26">
        <f ca="1">COUNTIF(L$3:L15, A16)*$V$10</f>
        <v>0</v>
      </c>
      <c r="D16" s="26">
        <f t="shared" ca="1" si="10"/>
        <v>1715</v>
      </c>
      <c r="E16" s="26">
        <f t="shared" ca="1" si="0"/>
        <v>259</v>
      </c>
      <c r="F16" s="26">
        <f t="shared" ca="1" si="1"/>
        <v>259</v>
      </c>
      <c r="G16" s="26">
        <f t="shared" ca="1" si="11"/>
        <v>1456</v>
      </c>
      <c r="H16" s="26">
        <f t="shared" ca="1" si="2"/>
        <v>0</v>
      </c>
      <c r="I16" s="26">
        <f t="shared" ca="1" si="12"/>
        <v>3577</v>
      </c>
      <c r="J16" s="26">
        <f t="shared" ca="1" si="13"/>
        <v>0</v>
      </c>
      <c r="K16" s="26">
        <f t="shared" ca="1" si="3"/>
        <v>5</v>
      </c>
      <c r="L16" s="26">
        <f t="shared" ca="1" si="4"/>
        <v>0</v>
      </c>
      <c r="M16" s="27">
        <f t="shared" ca="1" si="5"/>
        <v>7280</v>
      </c>
      <c r="N16" s="27">
        <f t="shared" ca="1" si="6"/>
        <v>0</v>
      </c>
      <c r="O16" s="28">
        <f t="shared" ca="1" si="7"/>
        <v>0</v>
      </c>
      <c r="P16" s="27">
        <f t="shared" ca="1" si="8"/>
        <v>7280</v>
      </c>
      <c r="T16" s="60" t="s">
        <v>1285</v>
      </c>
      <c r="U16" s="61"/>
      <c r="V16" s="16">
        <v>2</v>
      </c>
      <c r="X16" s="30">
        <v>15</v>
      </c>
      <c r="Y16" s="31">
        <v>203830</v>
      </c>
      <c r="Z16" s="31">
        <v>13164</v>
      </c>
      <c r="AA16" s="31">
        <v>600</v>
      </c>
      <c r="AB16" s="31">
        <v>217594</v>
      </c>
    </row>
    <row r="17" spans="1:28" ht="15" thickBot="1">
      <c r="A17" s="26">
        <v>15</v>
      </c>
      <c r="B17" s="26">
        <f t="shared" ca="1" si="9"/>
        <v>1456</v>
      </c>
      <c r="C17" s="26">
        <f ca="1">COUNTIF(L$3:L16, A17)*$V$10</f>
        <v>0</v>
      </c>
      <c r="D17" s="26">
        <f t="shared" ca="1" si="10"/>
        <v>1456</v>
      </c>
      <c r="E17" s="26">
        <f t="shared" ca="1" si="0"/>
        <v>233</v>
      </c>
      <c r="F17" s="26">
        <f t="shared" ca="1" si="1"/>
        <v>233</v>
      </c>
      <c r="G17" s="26">
        <f t="shared" ca="1" si="11"/>
        <v>1223</v>
      </c>
      <c r="H17" s="26">
        <f t="shared" ca="1" si="2"/>
        <v>0</v>
      </c>
      <c r="I17" s="26">
        <f t="shared" ca="1" si="12"/>
        <v>3344</v>
      </c>
      <c r="J17" s="26">
        <f t="shared" ca="1" si="13"/>
        <v>0</v>
      </c>
      <c r="K17" s="26">
        <f t="shared" ca="1" si="3"/>
        <v>6</v>
      </c>
      <c r="L17" s="26">
        <f t="shared" ca="1" si="4"/>
        <v>0</v>
      </c>
      <c r="M17" s="27">
        <f t="shared" ca="1" si="5"/>
        <v>6115</v>
      </c>
      <c r="N17" s="27">
        <f t="shared" ca="1" si="6"/>
        <v>0</v>
      </c>
      <c r="O17" s="28">
        <f t="shared" ca="1" si="7"/>
        <v>0</v>
      </c>
      <c r="P17" s="27">
        <f t="shared" ca="1" si="8"/>
        <v>6115</v>
      </c>
      <c r="T17" s="17"/>
      <c r="U17" s="17"/>
      <c r="V17" s="17"/>
      <c r="X17" s="30">
        <v>16</v>
      </c>
      <c r="Y17" s="31">
        <v>215715</v>
      </c>
      <c r="Z17" s="31">
        <v>10116</v>
      </c>
      <c r="AA17" s="31">
        <v>600</v>
      </c>
      <c r="AB17" s="31">
        <v>226431</v>
      </c>
    </row>
    <row r="18" spans="1:28" ht="16.2" thickBot="1">
      <c r="A18" s="26">
        <v>16</v>
      </c>
      <c r="B18" s="26">
        <f t="shared" ca="1" si="9"/>
        <v>1223</v>
      </c>
      <c r="C18" s="26">
        <f ca="1">COUNTIF(L$3:L17, A18)*$V$10</f>
        <v>0</v>
      </c>
      <c r="D18" s="26">
        <f t="shared" ca="1" si="10"/>
        <v>1223</v>
      </c>
      <c r="E18" s="26">
        <f t="shared" ca="1" si="0"/>
        <v>230</v>
      </c>
      <c r="F18" s="26">
        <f t="shared" ca="1" si="1"/>
        <v>230</v>
      </c>
      <c r="G18" s="26">
        <f t="shared" ca="1" si="11"/>
        <v>993</v>
      </c>
      <c r="H18" s="26">
        <f t="shared" ca="1" si="2"/>
        <v>0</v>
      </c>
      <c r="I18" s="26">
        <f t="shared" ca="1" si="12"/>
        <v>3114</v>
      </c>
      <c r="J18" s="26">
        <f t="shared" ca="1" si="13"/>
        <v>0</v>
      </c>
      <c r="K18" s="26">
        <f t="shared" ca="1" si="3"/>
        <v>7</v>
      </c>
      <c r="L18" s="26">
        <f t="shared" ca="1" si="4"/>
        <v>0</v>
      </c>
      <c r="M18" s="27">
        <f t="shared" ca="1" si="5"/>
        <v>4965</v>
      </c>
      <c r="N18" s="27">
        <f t="shared" ca="1" si="6"/>
        <v>0</v>
      </c>
      <c r="O18" s="28">
        <f t="shared" ca="1" si="7"/>
        <v>0</v>
      </c>
      <c r="P18" s="27">
        <f t="shared" ca="1" si="8"/>
        <v>4965</v>
      </c>
      <c r="T18" s="62" t="s">
        <v>1272</v>
      </c>
      <c r="U18" s="63"/>
      <c r="V18" s="20">
        <v>5</v>
      </c>
      <c r="X18" s="30">
        <v>17</v>
      </c>
      <c r="Y18" s="31">
        <v>167460</v>
      </c>
      <c r="Z18" s="31">
        <v>14340</v>
      </c>
      <c r="AA18" s="31">
        <v>600</v>
      </c>
      <c r="AB18" s="31">
        <v>182400</v>
      </c>
    </row>
    <row r="19" spans="1:28" ht="15" thickBot="1">
      <c r="A19" s="26">
        <v>17</v>
      </c>
      <c r="B19" s="26">
        <f t="shared" ca="1" si="9"/>
        <v>993</v>
      </c>
      <c r="C19" s="26">
        <f ca="1">COUNTIF(L$3:L18, A19)*$V$10</f>
        <v>0</v>
      </c>
      <c r="D19" s="26">
        <f t="shared" ca="1" si="10"/>
        <v>993</v>
      </c>
      <c r="E19" s="26">
        <f t="shared" ca="1" si="0"/>
        <v>222</v>
      </c>
      <c r="F19" s="26">
        <f t="shared" ca="1" si="1"/>
        <v>222</v>
      </c>
      <c r="G19" s="26">
        <f t="shared" ca="1" si="11"/>
        <v>771</v>
      </c>
      <c r="H19" s="26">
        <f t="shared" ca="1" si="2"/>
        <v>0</v>
      </c>
      <c r="I19" s="26">
        <f t="shared" ca="1" si="12"/>
        <v>2892</v>
      </c>
      <c r="J19" s="26">
        <f t="shared" ca="1" si="13"/>
        <v>0</v>
      </c>
      <c r="K19" s="26">
        <f t="shared" ca="1" si="3"/>
        <v>10</v>
      </c>
      <c r="L19" s="26">
        <f t="shared" ca="1" si="4"/>
        <v>0</v>
      </c>
      <c r="M19" s="27">
        <f t="shared" ca="1" si="5"/>
        <v>3855</v>
      </c>
      <c r="N19" s="27">
        <f t="shared" ca="1" si="6"/>
        <v>0</v>
      </c>
      <c r="O19" s="28">
        <f t="shared" ca="1" si="7"/>
        <v>0</v>
      </c>
      <c r="P19" s="27">
        <f t="shared" ca="1" si="8"/>
        <v>3855</v>
      </c>
      <c r="T19" s="21"/>
      <c r="U19" s="17"/>
      <c r="V19" s="22"/>
      <c r="X19" s="30">
        <v>18</v>
      </c>
      <c r="Y19" s="31">
        <v>136070</v>
      </c>
      <c r="Z19" s="31">
        <v>10920</v>
      </c>
      <c r="AA19" s="31">
        <v>600</v>
      </c>
      <c r="AB19" s="31">
        <v>147590</v>
      </c>
    </row>
    <row r="20" spans="1:28" ht="15" thickBot="1">
      <c r="A20" s="26">
        <v>18</v>
      </c>
      <c r="B20" s="26">
        <f t="shared" ca="1" si="9"/>
        <v>771</v>
      </c>
      <c r="C20" s="26">
        <f ca="1">COUNTIF(L$3:L19, A20)*$V$10</f>
        <v>0</v>
      </c>
      <c r="D20" s="26">
        <f t="shared" ca="1" si="10"/>
        <v>771</v>
      </c>
      <c r="E20" s="26">
        <f t="shared" ca="1" si="0"/>
        <v>216</v>
      </c>
      <c r="F20" s="26">
        <f t="shared" ca="1" si="1"/>
        <v>216</v>
      </c>
      <c r="G20" s="26">
        <f t="shared" ca="1" si="11"/>
        <v>555</v>
      </c>
      <c r="H20" s="26">
        <f t="shared" ca="1" si="2"/>
        <v>0</v>
      </c>
      <c r="I20" s="26">
        <f t="shared" ca="1" si="12"/>
        <v>2676</v>
      </c>
      <c r="J20" s="26">
        <f t="shared" ca="1" si="13"/>
        <v>0</v>
      </c>
      <c r="K20" s="26">
        <f t="shared" ca="1" si="3"/>
        <v>10</v>
      </c>
      <c r="L20" s="26">
        <f t="shared" ca="1" si="4"/>
        <v>0</v>
      </c>
      <c r="M20" s="27">
        <f t="shared" ca="1" si="5"/>
        <v>2775</v>
      </c>
      <c r="N20" s="27">
        <f t="shared" ca="1" si="6"/>
        <v>0</v>
      </c>
      <c r="O20" s="28">
        <f t="shared" ca="1" si="7"/>
        <v>0</v>
      </c>
      <c r="P20" s="27">
        <f t="shared" ca="1" si="8"/>
        <v>2775</v>
      </c>
      <c r="T20" s="17"/>
      <c r="U20" s="17"/>
      <c r="V20" s="17"/>
      <c r="X20" s="30">
        <v>19</v>
      </c>
      <c r="Y20" s="31">
        <v>227155</v>
      </c>
      <c r="Z20" s="31">
        <v>13608</v>
      </c>
      <c r="AA20" s="31">
        <v>600</v>
      </c>
      <c r="AB20" s="31">
        <v>241363</v>
      </c>
    </row>
    <row r="21" spans="1:28" ht="16.2" thickBot="1">
      <c r="A21" s="26">
        <v>19</v>
      </c>
      <c r="B21" s="26">
        <f t="shared" ca="1" si="9"/>
        <v>555</v>
      </c>
      <c r="C21" s="26">
        <f ca="1">COUNTIF(L$3:L20, A21)*$V$10</f>
        <v>0</v>
      </c>
      <c r="D21" s="26">
        <f t="shared" ca="1" si="10"/>
        <v>555</v>
      </c>
      <c r="E21" s="26">
        <f t="shared" ca="1" si="0"/>
        <v>267</v>
      </c>
      <c r="F21" s="26">
        <f t="shared" ca="1" si="1"/>
        <v>267</v>
      </c>
      <c r="G21" s="26">
        <f t="shared" ca="1" si="11"/>
        <v>288</v>
      </c>
      <c r="H21" s="26">
        <f t="shared" ca="1" si="2"/>
        <v>0</v>
      </c>
      <c r="I21" s="26">
        <f t="shared" ca="1" si="12"/>
        <v>2409</v>
      </c>
      <c r="J21" s="26">
        <f t="shared" ca="1" si="13"/>
        <v>1</v>
      </c>
      <c r="K21" s="26">
        <f t="shared" ca="1" si="3"/>
        <v>12</v>
      </c>
      <c r="L21" s="26">
        <f t="shared" ca="1" si="4"/>
        <v>32</v>
      </c>
      <c r="M21" s="27">
        <f t="shared" ca="1" si="5"/>
        <v>1440</v>
      </c>
      <c r="N21" s="27">
        <f t="shared" ca="1" si="6"/>
        <v>0</v>
      </c>
      <c r="O21" s="28">
        <f t="shared" ca="1" si="7"/>
        <v>150</v>
      </c>
      <c r="P21" s="27">
        <f t="shared" ca="1" si="8"/>
        <v>1590</v>
      </c>
      <c r="T21" s="62" t="s">
        <v>1279</v>
      </c>
      <c r="U21" s="63"/>
      <c r="V21" s="20">
        <v>12</v>
      </c>
      <c r="X21" s="30">
        <v>20</v>
      </c>
      <c r="Y21" s="31">
        <v>186945</v>
      </c>
      <c r="Z21" s="31">
        <v>13392</v>
      </c>
      <c r="AA21" s="31">
        <v>600</v>
      </c>
      <c r="AB21" s="31">
        <v>200937</v>
      </c>
    </row>
    <row r="22" spans="1:28" ht="15" thickBot="1">
      <c r="A22" s="26">
        <v>20</v>
      </c>
      <c r="B22" s="26">
        <f t="shared" ca="1" si="9"/>
        <v>288</v>
      </c>
      <c r="C22" s="26">
        <f ca="1">COUNTIF(L$3:L21, A22)*$V$10</f>
        <v>0</v>
      </c>
      <c r="D22" s="26">
        <f t="shared" ca="1" si="10"/>
        <v>288</v>
      </c>
      <c r="E22" s="26">
        <f t="shared" ca="1" si="0"/>
        <v>210</v>
      </c>
      <c r="F22" s="26">
        <f t="shared" ca="1" si="1"/>
        <v>210</v>
      </c>
      <c r="G22" s="26">
        <f t="shared" ca="1" si="11"/>
        <v>78</v>
      </c>
      <c r="H22" s="26">
        <f t="shared" ca="1" si="2"/>
        <v>0</v>
      </c>
      <c r="I22" s="26">
        <f t="shared" ca="1" si="12"/>
        <v>4320</v>
      </c>
      <c r="J22" s="26">
        <f t="shared" ca="1" si="13"/>
        <v>0</v>
      </c>
      <c r="K22" s="26">
        <f t="shared" ca="1" si="3"/>
        <v>10</v>
      </c>
      <c r="L22" s="26">
        <f t="shared" ca="1" si="4"/>
        <v>0</v>
      </c>
      <c r="M22" s="27">
        <f t="shared" ca="1" si="5"/>
        <v>390</v>
      </c>
      <c r="N22" s="27">
        <f t="shared" ca="1" si="6"/>
        <v>0</v>
      </c>
      <c r="O22" s="28">
        <f t="shared" ca="1" si="7"/>
        <v>0</v>
      </c>
      <c r="P22" s="27">
        <f t="shared" ca="1" si="8"/>
        <v>390</v>
      </c>
      <c r="T22" s="21"/>
      <c r="U22" s="17"/>
      <c r="V22" s="22"/>
      <c r="X22" s="30">
        <v>21</v>
      </c>
      <c r="Y22" s="31">
        <v>180905</v>
      </c>
      <c r="Z22" s="31">
        <v>10080</v>
      </c>
      <c r="AA22" s="31">
        <v>600</v>
      </c>
      <c r="AB22" s="31">
        <v>191585</v>
      </c>
    </row>
    <row r="23" spans="1:28" ht="15" thickBot="1">
      <c r="A23" s="26">
        <v>21</v>
      </c>
      <c r="B23" s="26">
        <f t="shared" ca="1" si="9"/>
        <v>78</v>
      </c>
      <c r="C23" s="26">
        <f ca="1">COUNTIF(L$3:L22, A23)*$V$10</f>
        <v>2121</v>
      </c>
      <c r="D23" s="26">
        <f t="shared" ca="1" si="10"/>
        <v>2199</v>
      </c>
      <c r="E23" s="26">
        <f t="shared" ca="1" si="0"/>
        <v>178</v>
      </c>
      <c r="F23" s="26">
        <f t="shared" ca="1" si="1"/>
        <v>178</v>
      </c>
      <c r="G23" s="26">
        <f t="shared" ca="1" si="11"/>
        <v>2021</v>
      </c>
      <c r="H23" s="26">
        <f t="shared" ca="1" si="2"/>
        <v>0</v>
      </c>
      <c r="I23" s="26">
        <f t="shared" ca="1" si="12"/>
        <v>4142</v>
      </c>
      <c r="J23" s="26">
        <f t="shared" ca="1" si="13"/>
        <v>0</v>
      </c>
      <c r="K23" s="26">
        <f t="shared" ca="1" si="3"/>
        <v>7</v>
      </c>
      <c r="L23" s="26">
        <f t="shared" ca="1" si="4"/>
        <v>0</v>
      </c>
      <c r="M23" s="27">
        <f t="shared" ca="1" si="5"/>
        <v>10105</v>
      </c>
      <c r="N23" s="27">
        <f t="shared" ca="1" si="6"/>
        <v>0</v>
      </c>
      <c r="O23" s="28">
        <f t="shared" ca="1" si="7"/>
        <v>0</v>
      </c>
      <c r="P23" s="27">
        <f t="shared" ca="1" si="8"/>
        <v>10105</v>
      </c>
      <c r="T23" s="17"/>
      <c r="U23" s="17"/>
      <c r="V23" s="17"/>
      <c r="X23" s="30">
        <v>22</v>
      </c>
      <c r="Y23" s="31">
        <v>193200</v>
      </c>
      <c r="Z23" s="31">
        <v>3552</v>
      </c>
      <c r="AA23" s="31">
        <v>600</v>
      </c>
      <c r="AB23" s="31">
        <v>197352</v>
      </c>
    </row>
    <row r="24" spans="1:28" ht="16.2" thickBot="1">
      <c r="A24" s="26">
        <v>22</v>
      </c>
      <c r="B24" s="26">
        <f t="shared" ca="1" si="9"/>
        <v>2021</v>
      </c>
      <c r="C24" s="26">
        <f ca="1">COUNTIF(L$3:L23, A24)*$V$10</f>
        <v>0</v>
      </c>
      <c r="D24" s="26">
        <f t="shared" ca="1" si="10"/>
        <v>2021</v>
      </c>
      <c r="E24" s="26">
        <f t="shared" ca="1" si="0"/>
        <v>233</v>
      </c>
      <c r="F24" s="26">
        <f t="shared" ca="1" si="1"/>
        <v>233</v>
      </c>
      <c r="G24" s="26">
        <f t="shared" ca="1" si="11"/>
        <v>1788</v>
      </c>
      <c r="H24" s="26">
        <f t="shared" ca="1" si="2"/>
        <v>0</v>
      </c>
      <c r="I24" s="26">
        <f t="shared" ca="1" si="12"/>
        <v>3909</v>
      </c>
      <c r="J24" s="26">
        <f t="shared" ca="1" si="13"/>
        <v>0</v>
      </c>
      <c r="K24" s="26">
        <f t="shared" ca="1" si="3"/>
        <v>8</v>
      </c>
      <c r="L24" s="26">
        <f t="shared" ca="1" si="4"/>
        <v>0</v>
      </c>
      <c r="M24" s="27">
        <f t="shared" ca="1" si="5"/>
        <v>8940</v>
      </c>
      <c r="N24" s="27">
        <f t="shared" ca="1" si="6"/>
        <v>0</v>
      </c>
      <c r="O24" s="28">
        <f t="shared" ca="1" si="7"/>
        <v>0</v>
      </c>
      <c r="P24" s="27">
        <f t="shared" ca="1" si="8"/>
        <v>8940</v>
      </c>
      <c r="T24" s="62" t="s">
        <v>1274</v>
      </c>
      <c r="U24" s="63"/>
      <c r="V24" s="20">
        <v>150</v>
      </c>
      <c r="X24" s="30">
        <v>23</v>
      </c>
      <c r="Y24" s="31">
        <v>220665</v>
      </c>
      <c r="Z24" s="31">
        <v>9828</v>
      </c>
      <c r="AA24" s="31">
        <v>600</v>
      </c>
      <c r="AB24" s="31">
        <v>231093</v>
      </c>
    </row>
    <row r="25" spans="1:28" ht="15" thickBot="1">
      <c r="A25" s="26">
        <v>23</v>
      </c>
      <c r="B25" s="26">
        <f t="shared" ca="1" si="9"/>
        <v>1788</v>
      </c>
      <c r="C25" s="26">
        <f ca="1">COUNTIF(L$3:L24, A25)*$V$10</f>
        <v>0</v>
      </c>
      <c r="D25" s="26">
        <f t="shared" ca="1" si="10"/>
        <v>1788</v>
      </c>
      <c r="E25" s="26">
        <f t="shared" ca="1" si="0"/>
        <v>185</v>
      </c>
      <c r="F25" s="26">
        <f t="shared" ca="1" si="1"/>
        <v>185</v>
      </c>
      <c r="G25" s="26">
        <f t="shared" ca="1" si="11"/>
        <v>1603</v>
      </c>
      <c r="H25" s="26">
        <f t="shared" ca="1" si="2"/>
        <v>0</v>
      </c>
      <c r="I25" s="26">
        <f t="shared" ca="1" si="12"/>
        <v>3724</v>
      </c>
      <c r="J25" s="26">
        <f t="shared" ca="1" si="13"/>
        <v>0</v>
      </c>
      <c r="K25" s="26">
        <f t="shared" ca="1" si="3"/>
        <v>9</v>
      </c>
      <c r="L25" s="26">
        <f t="shared" ca="1" si="4"/>
        <v>0</v>
      </c>
      <c r="M25" s="27">
        <f t="shared" ca="1" si="5"/>
        <v>8015</v>
      </c>
      <c r="N25" s="27">
        <f t="shared" ca="1" si="6"/>
        <v>0</v>
      </c>
      <c r="O25" s="28">
        <f t="shared" ca="1" si="7"/>
        <v>0</v>
      </c>
      <c r="P25" s="27">
        <f t="shared" ca="1" si="8"/>
        <v>8015</v>
      </c>
      <c r="T25" s="21"/>
      <c r="U25" s="17"/>
      <c r="V25" s="22"/>
      <c r="X25" s="30">
        <v>24</v>
      </c>
      <c r="Y25" s="31">
        <v>215965</v>
      </c>
      <c r="Z25" s="31">
        <v>8136</v>
      </c>
      <c r="AA25" s="31">
        <v>600</v>
      </c>
      <c r="AB25" s="31">
        <v>224701</v>
      </c>
    </row>
    <row r="26" spans="1:28">
      <c r="A26" s="26">
        <v>24</v>
      </c>
      <c r="B26" s="26">
        <f t="shared" ca="1" si="9"/>
        <v>1603</v>
      </c>
      <c r="C26" s="26">
        <f ca="1">COUNTIF(L$3:L25, A26)*$V$10</f>
        <v>0</v>
      </c>
      <c r="D26" s="26">
        <f t="shared" ca="1" si="10"/>
        <v>1603</v>
      </c>
      <c r="E26" s="26">
        <f t="shared" ca="1" si="0"/>
        <v>268</v>
      </c>
      <c r="F26" s="26">
        <f t="shared" ca="1" si="1"/>
        <v>268</v>
      </c>
      <c r="G26" s="26">
        <f t="shared" ca="1" si="11"/>
        <v>1335</v>
      </c>
      <c r="H26" s="26">
        <f t="shared" ca="1" si="2"/>
        <v>0</v>
      </c>
      <c r="I26" s="26">
        <f t="shared" ca="1" si="12"/>
        <v>3456</v>
      </c>
      <c r="J26" s="26">
        <f t="shared" ca="1" si="13"/>
        <v>0</v>
      </c>
      <c r="K26" s="26">
        <f t="shared" ca="1" si="3"/>
        <v>5</v>
      </c>
      <c r="L26" s="26">
        <f t="shared" ca="1" si="4"/>
        <v>0</v>
      </c>
      <c r="M26" s="27">
        <f t="shared" ca="1" si="5"/>
        <v>6675</v>
      </c>
      <c r="N26" s="27">
        <f t="shared" ca="1" si="6"/>
        <v>0</v>
      </c>
      <c r="O26" s="28">
        <f t="shared" ca="1" si="7"/>
        <v>0</v>
      </c>
      <c r="P26" s="27">
        <f t="shared" ca="1" si="8"/>
        <v>6675</v>
      </c>
      <c r="X26" s="30">
        <v>25</v>
      </c>
      <c r="Y26" s="31">
        <v>194195</v>
      </c>
      <c r="Z26" s="31">
        <v>3012</v>
      </c>
      <c r="AA26" s="31">
        <v>600</v>
      </c>
      <c r="AB26" s="31">
        <v>197807</v>
      </c>
    </row>
    <row r="27" spans="1:28">
      <c r="A27" s="26">
        <v>25</v>
      </c>
      <c r="B27" s="26">
        <f t="shared" ca="1" si="9"/>
        <v>1335</v>
      </c>
      <c r="C27" s="26">
        <f ca="1">COUNTIF(L$3:L26, A27)*$V$10</f>
        <v>0</v>
      </c>
      <c r="D27" s="26">
        <f t="shared" ca="1" si="10"/>
        <v>1335</v>
      </c>
      <c r="E27" s="26">
        <f t="shared" ca="1" si="0"/>
        <v>125</v>
      </c>
      <c r="F27" s="26">
        <f t="shared" ca="1" si="1"/>
        <v>125</v>
      </c>
      <c r="G27" s="26">
        <f t="shared" ca="1" si="11"/>
        <v>1210</v>
      </c>
      <c r="H27" s="26">
        <f t="shared" ca="1" si="2"/>
        <v>0</v>
      </c>
      <c r="I27" s="26">
        <f t="shared" ca="1" si="12"/>
        <v>3331</v>
      </c>
      <c r="J27" s="26">
        <f t="shared" ca="1" si="13"/>
        <v>0</v>
      </c>
      <c r="K27" s="26">
        <f t="shared" ca="1" si="3"/>
        <v>12</v>
      </c>
      <c r="L27" s="26">
        <f t="shared" ca="1" si="4"/>
        <v>0</v>
      </c>
      <c r="M27" s="27">
        <f t="shared" ca="1" si="5"/>
        <v>6050</v>
      </c>
      <c r="N27" s="27">
        <f t="shared" ca="1" si="6"/>
        <v>0</v>
      </c>
      <c r="O27" s="28">
        <f t="shared" ca="1" si="7"/>
        <v>0</v>
      </c>
      <c r="P27" s="27">
        <f t="shared" ca="1" si="8"/>
        <v>6050</v>
      </c>
      <c r="X27" s="30">
        <v>26</v>
      </c>
      <c r="Y27" s="31">
        <v>216620</v>
      </c>
      <c r="Z27" s="31">
        <v>13008</v>
      </c>
      <c r="AA27" s="31">
        <v>600</v>
      </c>
      <c r="AB27" s="31">
        <v>230228</v>
      </c>
    </row>
    <row r="28" spans="1:28">
      <c r="A28" s="26">
        <v>26</v>
      </c>
      <c r="B28" s="26">
        <f t="shared" ca="1" si="9"/>
        <v>1210</v>
      </c>
      <c r="C28" s="26">
        <f ca="1">COUNTIF(L$3:L27, A28)*$V$10</f>
        <v>0</v>
      </c>
      <c r="D28" s="26">
        <f t="shared" ca="1" si="10"/>
        <v>1210</v>
      </c>
      <c r="E28" s="26">
        <f t="shared" ca="1" si="0"/>
        <v>271</v>
      </c>
      <c r="F28" s="26">
        <f t="shared" ca="1" si="1"/>
        <v>271</v>
      </c>
      <c r="G28" s="26">
        <f t="shared" ca="1" si="11"/>
        <v>939</v>
      </c>
      <c r="H28" s="26">
        <f t="shared" ca="1" si="2"/>
        <v>0</v>
      </c>
      <c r="I28" s="26">
        <f t="shared" ca="1" si="12"/>
        <v>3060</v>
      </c>
      <c r="J28" s="26">
        <f t="shared" ca="1" si="13"/>
        <v>0</v>
      </c>
      <c r="K28" s="26">
        <f t="shared" ca="1" si="3"/>
        <v>8</v>
      </c>
      <c r="L28" s="26">
        <f t="shared" ca="1" si="4"/>
        <v>0</v>
      </c>
      <c r="M28" s="27">
        <f t="shared" ca="1" si="5"/>
        <v>4695</v>
      </c>
      <c r="N28" s="27">
        <f t="shared" ca="1" si="6"/>
        <v>0</v>
      </c>
      <c r="O28" s="28">
        <f t="shared" ca="1" si="7"/>
        <v>0</v>
      </c>
      <c r="P28" s="27">
        <f t="shared" ca="1" si="8"/>
        <v>4695</v>
      </c>
      <c r="X28" s="30">
        <v>27</v>
      </c>
      <c r="Y28" s="31">
        <v>188245</v>
      </c>
      <c r="Z28" s="31">
        <v>12420</v>
      </c>
      <c r="AA28" s="31">
        <v>600</v>
      </c>
      <c r="AB28" s="31">
        <v>201265</v>
      </c>
    </row>
    <row r="29" spans="1:28">
      <c r="A29" s="26">
        <v>27</v>
      </c>
      <c r="B29" s="26">
        <f t="shared" ca="1" si="9"/>
        <v>939</v>
      </c>
      <c r="C29" s="26">
        <f ca="1">COUNTIF(L$3:L28, A29)*$V$10</f>
        <v>0</v>
      </c>
      <c r="D29" s="26">
        <f t="shared" ca="1" si="10"/>
        <v>939</v>
      </c>
      <c r="E29" s="26">
        <f t="shared" ca="1" si="0"/>
        <v>149</v>
      </c>
      <c r="F29" s="26">
        <f t="shared" ca="1" si="1"/>
        <v>149</v>
      </c>
      <c r="G29" s="26">
        <f t="shared" ca="1" si="11"/>
        <v>790</v>
      </c>
      <c r="H29" s="26">
        <f t="shared" ca="1" si="2"/>
        <v>0</v>
      </c>
      <c r="I29" s="26">
        <f t="shared" ca="1" si="12"/>
        <v>2911</v>
      </c>
      <c r="J29" s="26">
        <f t="shared" ca="1" si="13"/>
        <v>0</v>
      </c>
      <c r="K29" s="26">
        <f t="shared" ca="1" si="3"/>
        <v>5</v>
      </c>
      <c r="L29" s="26">
        <f t="shared" ca="1" si="4"/>
        <v>0</v>
      </c>
      <c r="M29" s="27">
        <f t="shared" ca="1" si="5"/>
        <v>3950</v>
      </c>
      <c r="N29" s="27">
        <f t="shared" ca="1" si="6"/>
        <v>0</v>
      </c>
      <c r="O29" s="28">
        <f t="shared" ca="1" si="7"/>
        <v>0</v>
      </c>
      <c r="P29" s="27">
        <f t="shared" ca="1" si="8"/>
        <v>3950</v>
      </c>
      <c r="X29" s="30">
        <v>28</v>
      </c>
      <c r="Y29" s="31">
        <v>165885</v>
      </c>
      <c r="Z29" s="31">
        <v>12156</v>
      </c>
      <c r="AA29" s="31">
        <v>600</v>
      </c>
      <c r="AB29" s="31">
        <v>178641</v>
      </c>
    </row>
    <row r="30" spans="1:28" ht="18">
      <c r="A30" s="26">
        <v>28</v>
      </c>
      <c r="B30" s="26">
        <f t="shared" ca="1" si="9"/>
        <v>790</v>
      </c>
      <c r="C30" s="26">
        <f ca="1">COUNTIF(L$3:L29, A30)*$V$10</f>
        <v>0</v>
      </c>
      <c r="D30" s="26">
        <f t="shared" ca="1" si="10"/>
        <v>790</v>
      </c>
      <c r="E30" s="26">
        <f t="shared" ca="1" si="0"/>
        <v>247</v>
      </c>
      <c r="F30" s="26">
        <f t="shared" ca="1" si="1"/>
        <v>247</v>
      </c>
      <c r="G30" s="26">
        <f t="shared" ca="1" si="11"/>
        <v>543</v>
      </c>
      <c r="H30" s="26">
        <f t="shared" ca="1" si="2"/>
        <v>0</v>
      </c>
      <c r="I30" s="26">
        <f t="shared" ca="1" si="12"/>
        <v>2664</v>
      </c>
      <c r="J30" s="26">
        <f t="shared" ca="1" si="13"/>
        <v>0</v>
      </c>
      <c r="K30" s="26">
        <f t="shared" ca="1" si="3"/>
        <v>8</v>
      </c>
      <c r="L30" s="26">
        <f t="shared" ca="1" si="4"/>
        <v>0</v>
      </c>
      <c r="M30" s="27">
        <f t="shared" ca="1" si="5"/>
        <v>2715</v>
      </c>
      <c r="N30" s="27">
        <f t="shared" ca="1" si="6"/>
        <v>0</v>
      </c>
      <c r="O30" s="28">
        <f t="shared" ca="1" si="7"/>
        <v>0</v>
      </c>
      <c r="P30" s="27">
        <f t="shared" ca="1" si="8"/>
        <v>2715</v>
      </c>
      <c r="R30" s="10" t="s">
        <v>1272</v>
      </c>
      <c r="S30" s="10" t="s">
        <v>1273</v>
      </c>
      <c r="T30" s="10" t="s">
        <v>1274</v>
      </c>
      <c r="U30" s="10" t="s">
        <v>1275</v>
      </c>
      <c r="X30" s="30">
        <v>29</v>
      </c>
      <c r="Y30" s="31">
        <v>232625</v>
      </c>
      <c r="Z30" s="31">
        <v>8760</v>
      </c>
      <c r="AA30" s="31">
        <v>600</v>
      </c>
      <c r="AB30" s="31">
        <v>241985</v>
      </c>
    </row>
    <row r="31" spans="1:28" ht="18">
      <c r="A31" s="26">
        <v>29</v>
      </c>
      <c r="B31" s="26">
        <f t="shared" ca="1" si="9"/>
        <v>543</v>
      </c>
      <c r="C31" s="26">
        <f ca="1">COUNTIF(L$3:L30, A31)*$V$10</f>
        <v>0</v>
      </c>
      <c r="D31" s="26">
        <f t="shared" ca="1" si="10"/>
        <v>543</v>
      </c>
      <c r="E31" s="26">
        <f t="shared" ca="1" si="0"/>
        <v>290</v>
      </c>
      <c r="F31" s="26">
        <f t="shared" ca="1" si="1"/>
        <v>290</v>
      </c>
      <c r="G31" s="26">
        <f t="shared" ca="1" si="11"/>
        <v>253</v>
      </c>
      <c r="H31" s="26">
        <f t="shared" ca="1" si="2"/>
        <v>0</v>
      </c>
      <c r="I31" s="26">
        <f t="shared" ca="1" si="12"/>
        <v>2374</v>
      </c>
      <c r="J31" s="26">
        <f t="shared" ca="1" si="13"/>
        <v>1</v>
      </c>
      <c r="K31" s="26">
        <f t="shared" ca="1" si="3"/>
        <v>6</v>
      </c>
      <c r="L31" s="26">
        <f t="shared" ca="1" si="4"/>
        <v>36</v>
      </c>
      <c r="M31" s="27">
        <f t="shared" ca="1" si="5"/>
        <v>1265</v>
      </c>
      <c r="N31" s="27">
        <f t="shared" ca="1" si="6"/>
        <v>0</v>
      </c>
      <c r="O31" s="28">
        <f t="shared" ca="1" si="7"/>
        <v>150</v>
      </c>
      <c r="P31" s="27">
        <f t="shared" ca="1" si="8"/>
        <v>1415</v>
      </c>
      <c r="R31" s="33">
        <f ca="1">AVERAGE(Y2:Y501)</f>
        <v>193347.04</v>
      </c>
      <c r="S31" s="33">
        <f ca="1">AVERAGE(Z2:Z501)</f>
        <v>10202.544</v>
      </c>
      <c r="T31" s="33">
        <f ca="1">AVERAGE(AA2:AA501)</f>
        <v>595.20000000000005</v>
      </c>
      <c r="U31" s="33">
        <f ca="1">AVERAGE(AB2:AB501)</f>
        <v>204144.78400000001</v>
      </c>
      <c r="X31" s="30">
        <v>30</v>
      </c>
      <c r="Y31" s="31">
        <v>235750</v>
      </c>
      <c r="Z31" s="31">
        <v>612</v>
      </c>
      <c r="AA31" s="31">
        <v>600</v>
      </c>
      <c r="AB31" s="31">
        <v>236962</v>
      </c>
    </row>
    <row r="32" spans="1:28">
      <c r="A32" s="26">
        <v>30</v>
      </c>
      <c r="B32" s="26">
        <f t="shared" ca="1" si="9"/>
        <v>253</v>
      </c>
      <c r="C32" s="26">
        <f ca="1">COUNTIF(L$3:L31, A32)*$V$10</f>
        <v>0</v>
      </c>
      <c r="D32" s="26">
        <f t="shared" ca="1" si="10"/>
        <v>253</v>
      </c>
      <c r="E32" s="26">
        <f t="shared" ca="1" si="0"/>
        <v>249</v>
      </c>
      <c r="F32" s="26">
        <f t="shared" ca="1" si="1"/>
        <v>249</v>
      </c>
      <c r="G32" s="26">
        <f t="shared" ca="1" si="11"/>
        <v>4</v>
      </c>
      <c r="H32" s="26">
        <f t="shared" ca="1" si="2"/>
        <v>0</v>
      </c>
      <c r="I32" s="26">
        <f t="shared" ca="1" si="12"/>
        <v>4246</v>
      </c>
      <c r="J32" s="26">
        <f t="shared" ca="1" si="13"/>
        <v>0</v>
      </c>
      <c r="K32" s="26">
        <f t="shared" ca="1" si="3"/>
        <v>7</v>
      </c>
      <c r="L32" s="26">
        <f t="shared" ca="1" si="4"/>
        <v>0</v>
      </c>
      <c r="M32" s="27">
        <f t="shared" ca="1" si="5"/>
        <v>20</v>
      </c>
      <c r="N32" s="27">
        <f t="shared" ca="1" si="6"/>
        <v>0</v>
      </c>
      <c r="O32" s="28">
        <f t="shared" ca="1" si="7"/>
        <v>0</v>
      </c>
      <c r="P32" s="27">
        <f t="shared" ca="1" si="8"/>
        <v>20</v>
      </c>
      <c r="X32" s="30">
        <v>31</v>
      </c>
      <c r="Y32" s="31">
        <v>185810</v>
      </c>
      <c r="Z32" s="31">
        <v>18552</v>
      </c>
      <c r="AA32" s="31">
        <v>600</v>
      </c>
      <c r="AB32" s="31">
        <v>204962</v>
      </c>
    </row>
    <row r="33" spans="13:28">
      <c r="M33" s="50">
        <f ca="1">SUM(M3:M32)</f>
        <v>120125</v>
      </c>
      <c r="N33" s="50">
        <f t="shared" ref="N33:P33" ca="1" si="14">SUM(N3:N32)</f>
        <v>10200</v>
      </c>
      <c r="O33" s="50">
        <f t="shared" ca="1" si="14"/>
        <v>600</v>
      </c>
      <c r="P33" s="50">
        <f t="shared" ca="1" si="14"/>
        <v>130925</v>
      </c>
      <c r="X33" s="30">
        <v>32</v>
      </c>
      <c r="Y33" s="31">
        <v>217765</v>
      </c>
      <c r="Z33" s="31">
        <v>13692</v>
      </c>
      <c r="AA33" s="31">
        <v>600</v>
      </c>
      <c r="AB33" s="31">
        <v>232057</v>
      </c>
    </row>
    <row r="34" spans="13:28">
      <c r="X34" s="30">
        <v>33</v>
      </c>
      <c r="Y34" s="31">
        <v>197195</v>
      </c>
      <c r="Z34" s="31">
        <v>4356</v>
      </c>
      <c r="AA34" s="31">
        <v>600</v>
      </c>
      <c r="AB34" s="31">
        <v>202151</v>
      </c>
    </row>
    <row r="35" spans="13:28">
      <c r="X35" s="30">
        <v>34</v>
      </c>
      <c r="Y35" s="31">
        <v>177975</v>
      </c>
      <c r="Z35" s="31">
        <v>4836</v>
      </c>
      <c r="AA35" s="31">
        <v>600</v>
      </c>
      <c r="AB35" s="31">
        <v>183411</v>
      </c>
    </row>
    <row r="36" spans="13:28">
      <c r="X36" s="30">
        <v>35</v>
      </c>
      <c r="Y36" s="31">
        <v>222600</v>
      </c>
      <c r="Z36" s="31">
        <v>0</v>
      </c>
      <c r="AA36" s="31">
        <v>600</v>
      </c>
      <c r="AB36" s="31">
        <v>223200</v>
      </c>
    </row>
    <row r="37" spans="13:28">
      <c r="X37" s="30">
        <v>36</v>
      </c>
      <c r="Y37" s="31">
        <v>146065</v>
      </c>
      <c r="Z37" s="31">
        <v>17748</v>
      </c>
      <c r="AA37" s="31">
        <v>600</v>
      </c>
      <c r="AB37" s="31">
        <v>164413</v>
      </c>
    </row>
    <row r="38" spans="13:28">
      <c r="X38" s="30">
        <v>37</v>
      </c>
      <c r="Y38" s="31">
        <v>160600</v>
      </c>
      <c r="Z38" s="31">
        <v>8724</v>
      </c>
      <c r="AA38" s="31">
        <v>600</v>
      </c>
      <c r="AB38" s="31">
        <v>169924</v>
      </c>
    </row>
    <row r="39" spans="13:28">
      <c r="X39" s="30">
        <v>38</v>
      </c>
      <c r="Y39" s="31">
        <v>191605</v>
      </c>
      <c r="Z39" s="31">
        <v>13308</v>
      </c>
      <c r="AA39" s="31">
        <v>600</v>
      </c>
      <c r="AB39" s="31">
        <v>205513</v>
      </c>
    </row>
    <row r="40" spans="13:28">
      <c r="X40" s="30">
        <v>39</v>
      </c>
      <c r="Y40" s="31">
        <v>183305</v>
      </c>
      <c r="Z40" s="31">
        <v>15912</v>
      </c>
      <c r="AA40" s="31">
        <v>600</v>
      </c>
      <c r="AB40" s="31">
        <v>199817</v>
      </c>
    </row>
    <row r="41" spans="13:28">
      <c r="X41" s="30">
        <v>40</v>
      </c>
      <c r="Y41" s="31">
        <v>167175</v>
      </c>
      <c r="Z41" s="31">
        <v>14640</v>
      </c>
      <c r="AA41" s="31">
        <v>600</v>
      </c>
      <c r="AB41" s="31">
        <v>182415</v>
      </c>
    </row>
    <row r="42" spans="13:28">
      <c r="X42" s="30">
        <v>41</v>
      </c>
      <c r="Y42" s="31">
        <v>190250</v>
      </c>
      <c r="Z42" s="31">
        <v>19920</v>
      </c>
      <c r="AA42" s="31">
        <v>600</v>
      </c>
      <c r="AB42" s="31">
        <v>210770</v>
      </c>
    </row>
    <row r="43" spans="13:28">
      <c r="X43" s="30">
        <v>42</v>
      </c>
      <c r="Y43" s="31">
        <v>215385</v>
      </c>
      <c r="Z43" s="31">
        <v>9816</v>
      </c>
      <c r="AA43" s="31">
        <v>600</v>
      </c>
      <c r="AB43" s="31">
        <v>225801</v>
      </c>
    </row>
    <row r="44" spans="13:28">
      <c r="X44" s="30">
        <v>43</v>
      </c>
      <c r="Y44" s="31">
        <v>215630</v>
      </c>
      <c r="Z44" s="31">
        <v>4188</v>
      </c>
      <c r="AA44" s="31">
        <v>600</v>
      </c>
      <c r="AB44" s="31">
        <v>220418</v>
      </c>
    </row>
    <row r="45" spans="13:28">
      <c r="X45" s="30">
        <v>44</v>
      </c>
      <c r="Y45" s="31">
        <v>177350</v>
      </c>
      <c r="Z45" s="31">
        <v>10908</v>
      </c>
      <c r="AA45" s="31">
        <v>600</v>
      </c>
      <c r="AB45" s="31">
        <v>188858</v>
      </c>
    </row>
    <row r="46" spans="13:28">
      <c r="X46" s="30">
        <v>45</v>
      </c>
      <c r="Y46" s="31">
        <v>111665</v>
      </c>
      <c r="Z46" s="31">
        <v>14064</v>
      </c>
      <c r="AA46" s="31">
        <v>600</v>
      </c>
      <c r="AB46" s="31">
        <v>126329</v>
      </c>
    </row>
    <row r="47" spans="13:28">
      <c r="X47" s="30">
        <v>46</v>
      </c>
      <c r="Y47" s="31">
        <v>194265</v>
      </c>
      <c r="Z47" s="31">
        <v>5208</v>
      </c>
      <c r="AA47" s="31">
        <v>600</v>
      </c>
      <c r="AB47" s="31">
        <v>200073</v>
      </c>
    </row>
    <row r="48" spans="13:28">
      <c r="X48" s="30">
        <v>47</v>
      </c>
      <c r="Y48" s="31">
        <v>215135</v>
      </c>
      <c r="Z48" s="31">
        <v>2940</v>
      </c>
      <c r="AA48" s="31">
        <v>600</v>
      </c>
      <c r="AB48" s="31">
        <v>218675</v>
      </c>
    </row>
    <row r="49" spans="24:28">
      <c r="X49" s="30">
        <v>48</v>
      </c>
      <c r="Y49" s="31">
        <v>203750</v>
      </c>
      <c r="Z49" s="31">
        <v>9492</v>
      </c>
      <c r="AA49" s="31">
        <v>600</v>
      </c>
      <c r="AB49" s="31">
        <v>213842</v>
      </c>
    </row>
    <row r="50" spans="24:28">
      <c r="X50" s="30">
        <v>49</v>
      </c>
      <c r="Y50" s="31">
        <v>213280</v>
      </c>
      <c r="Z50" s="31">
        <v>12108</v>
      </c>
      <c r="AA50" s="31">
        <v>600</v>
      </c>
      <c r="AB50" s="31">
        <v>225988</v>
      </c>
    </row>
    <row r="51" spans="24:28">
      <c r="X51" s="30">
        <v>50</v>
      </c>
      <c r="Y51" s="31">
        <v>220450</v>
      </c>
      <c r="Z51" s="31">
        <v>9804</v>
      </c>
      <c r="AA51" s="31">
        <v>600</v>
      </c>
      <c r="AB51" s="31">
        <v>230854</v>
      </c>
    </row>
    <row r="52" spans="24:28">
      <c r="X52" s="30">
        <v>51</v>
      </c>
      <c r="Y52" s="31">
        <v>225980</v>
      </c>
      <c r="Z52" s="31">
        <v>14724</v>
      </c>
      <c r="AA52" s="31">
        <v>600</v>
      </c>
      <c r="AB52" s="31">
        <v>241304</v>
      </c>
    </row>
    <row r="53" spans="24:28">
      <c r="X53" s="30">
        <v>52</v>
      </c>
      <c r="Y53" s="31">
        <v>168675</v>
      </c>
      <c r="Z53" s="31">
        <v>16392</v>
      </c>
      <c r="AA53" s="31">
        <v>600</v>
      </c>
      <c r="AB53" s="31">
        <v>185667</v>
      </c>
    </row>
    <row r="54" spans="24:28">
      <c r="X54" s="30">
        <v>53</v>
      </c>
      <c r="Y54" s="31">
        <v>205515</v>
      </c>
      <c r="Z54" s="31">
        <v>9684</v>
      </c>
      <c r="AA54" s="31">
        <v>600</v>
      </c>
      <c r="AB54" s="31">
        <v>215799</v>
      </c>
    </row>
    <row r="55" spans="24:28">
      <c r="X55" s="30">
        <v>54</v>
      </c>
      <c r="Y55" s="31">
        <v>200910</v>
      </c>
      <c r="Z55" s="31">
        <v>8208</v>
      </c>
      <c r="AA55" s="31">
        <v>600</v>
      </c>
      <c r="AB55" s="31">
        <v>209718</v>
      </c>
    </row>
    <row r="56" spans="24:28">
      <c r="X56" s="30">
        <v>55</v>
      </c>
      <c r="Y56" s="31">
        <v>242230</v>
      </c>
      <c r="Z56" s="31">
        <v>12900</v>
      </c>
      <c r="AA56" s="31">
        <v>600</v>
      </c>
      <c r="AB56" s="31">
        <v>255730</v>
      </c>
    </row>
    <row r="57" spans="24:28">
      <c r="X57" s="30">
        <v>56</v>
      </c>
      <c r="Y57" s="31">
        <v>143310</v>
      </c>
      <c r="Z57" s="31">
        <v>12216</v>
      </c>
      <c r="AA57" s="31">
        <v>600</v>
      </c>
      <c r="AB57" s="31">
        <v>156126</v>
      </c>
    </row>
    <row r="58" spans="24:28">
      <c r="X58" s="30">
        <v>57</v>
      </c>
      <c r="Y58" s="31">
        <v>142590</v>
      </c>
      <c r="Z58" s="31">
        <v>10980</v>
      </c>
      <c r="AA58" s="31">
        <v>600</v>
      </c>
      <c r="AB58" s="31">
        <v>154170</v>
      </c>
    </row>
    <row r="59" spans="24:28">
      <c r="X59" s="30">
        <v>58</v>
      </c>
      <c r="Y59" s="31">
        <v>184865</v>
      </c>
      <c r="Z59" s="31">
        <v>19092</v>
      </c>
      <c r="AA59" s="31">
        <v>600</v>
      </c>
      <c r="AB59" s="31">
        <v>204557</v>
      </c>
    </row>
    <row r="60" spans="24:28">
      <c r="X60" s="30">
        <v>59</v>
      </c>
      <c r="Y60" s="31">
        <v>124995</v>
      </c>
      <c r="Z60" s="31">
        <v>10176</v>
      </c>
      <c r="AA60" s="31">
        <v>600</v>
      </c>
      <c r="AB60" s="31">
        <v>135771</v>
      </c>
    </row>
    <row r="61" spans="24:28">
      <c r="X61" s="30">
        <v>60</v>
      </c>
      <c r="Y61" s="31">
        <v>188895</v>
      </c>
      <c r="Z61" s="31">
        <v>5292</v>
      </c>
      <c r="AA61" s="31">
        <v>600</v>
      </c>
      <c r="AB61" s="31">
        <v>194787</v>
      </c>
    </row>
    <row r="62" spans="24:28">
      <c r="X62" s="30">
        <v>61</v>
      </c>
      <c r="Y62" s="31">
        <v>206455</v>
      </c>
      <c r="Z62" s="31">
        <v>18312</v>
      </c>
      <c r="AA62" s="31">
        <v>600</v>
      </c>
      <c r="AB62" s="31">
        <v>225367</v>
      </c>
    </row>
    <row r="63" spans="24:28">
      <c r="X63" s="30">
        <v>62</v>
      </c>
      <c r="Y63" s="31">
        <v>213650</v>
      </c>
      <c r="Z63" s="31">
        <v>10716</v>
      </c>
      <c r="AA63" s="31">
        <v>600</v>
      </c>
      <c r="AB63" s="31">
        <v>224966</v>
      </c>
    </row>
    <row r="64" spans="24:28">
      <c r="X64" s="30">
        <v>63</v>
      </c>
      <c r="Y64" s="31">
        <v>234275</v>
      </c>
      <c r="Z64" s="31">
        <v>4452</v>
      </c>
      <c r="AA64" s="31">
        <v>600</v>
      </c>
      <c r="AB64" s="31">
        <v>239327</v>
      </c>
    </row>
    <row r="65" spans="24:28">
      <c r="X65" s="30">
        <v>64</v>
      </c>
      <c r="Y65" s="31">
        <v>261580</v>
      </c>
      <c r="Z65" s="31">
        <v>16296</v>
      </c>
      <c r="AA65" s="31">
        <v>600</v>
      </c>
      <c r="AB65" s="31">
        <v>278476</v>
      </c>
    </row>
    <row r="66" spans="24:28">
      <c r="X66" s="30">
        <v>65</v>
      </c>
      <c r="Y66" s="31">
        <v>239225</v>
      </c>
      <c r="Z66" s="31">
        <v>0</v>
      </c>
      <c r="AA66" s="31">
        <v>600</v>
      </c>
      <c r="AB66" s="31">
        <v>239825</v>
      </c>
    </row>
    <row r="67" spans="24:28">
      <c r="X67" s="30">
        <v>66</v>
      </c>
      <c r="Y67" s="31">
        <v>201175</v>
      </c>
      <c r="Z67" s="31">
        <v>12636</v>
      </c>
      <c r="AA67" s="31">
        <v>600</v>
      </c>
      <c r="AB67" s="31">
        <v>214411</v>
      </c>
    </row>
    <row r="68" spans="24:28">
      <c r="X68" s="30">
        <v>67</v>
      </c>
      <c r="Y68" s="31">
        <v>183620</v>
      </c>
      <c r="Z68" s="31">
        <v>15960</v>
      </c>
      <c r="AA68" s="31">
        <v>600</v>
      </c>
      <c r="AB68" s="31">
        <v>200180</v>
      </c>
    </row>
    <row r="69" spans="24:28">
      <c r="X69" s="30">
        <v>68</v>
      </c>
      <c r="Y69" s="31">
        <v>227825</v>
      </c>
      <c r="Z69" s="31">
        <v>3168</v>
      </c>
      <c r="AA69" s="31">
        <v>600</v>
      </c>
      <c r="AB69" s="31">
        <v>231593</v>
      </c>
    </row>
    <row r="70" spans="24:28">
      <c r="X70" s="30">
        <v>69</v>
      </c>
      <c r="Y70" s="31">
        <v>196965</v>
      </c>
      <c r="Z70" s="31">
        <v>11664</v>
      </c>
      <c r="AA70" s="31">
        <v>600</v>
      </c>
      <c r="AB70" s="31">
        <v>209229</v>
      </c>
    </row>
    <row r="71" spans="24:28">
      <c r="X71" s="30">
        <v>70</v>
      </c>
      <c r="Y71" s="31">
        <v>202570</v>
      </c>
      <c r="Z71" s="31">
        <v>5028</v>
      </c>
      <c r="AA71" s="31">
        <v>600</v>
      </c>
      <c r="AB71" s="31">
        <v>208198</v>
      </c>
    </row>
    <row r="72" spans="24:28">
      <c r="X72" s="30">
        <v>71</v>
      </c>
      <c r="Y72" s="31">
        <v>195475</v>
      </c>
      <c r="Z72" s="31">
        <v>13452</v>
      </c>
      <c r="AA72" s="31">
        <v>600</v>
      </c>
      <c r="AB72" s="31">
        <v>209527</v>
      </c>
    </row>
    <row r="73" spans="24:28">
      <c r="X73" s="30">
        <v>72</v>
      </c>
      <c r="Y73" s="31">
        <v>203015</v>
      </c>
      <c r="Z73" s="31">
        <v>7488</v>
      </c>
      <c r="AA73" s="31">
        <v>600</v>
      </c>
      <c r="AB73" s="31">
        <v>211103</v>
      </c>
    </row>
    <row r="74" spans="24:28">
      <c r="X74" s="30">
        <v>73</v>
      </c>
      <c r="Y74" s="31">
        <v>184790</v>
      </c>
      <c r="Z74" s="31">
        <v>15612</v>
      </c>
      <c r="AA74" s="31">
        <v>600</v>
      </c>
      <c r="AB74" s="31">
        <v>201002</v>
      </c>
    </row>
    <row r="75" spans="24:28">
      <c r="X75" s="30">
        <v>74</v>
      </c>
      <c r="Y75" s="31">
        <v>174635</v>
      </c>
      <c r="Z75" s="31">
        <v>12540</v>
      </c>
      <c r="AA75" s="31">
        <v>600</v>
      </c>
      <c r="AB75" s="31">
        <v>187775</v>
      </c>
    </row>
    <row r="76" spans="24:28">
      <c r="X76" s="30">
        <v>75</v>
      </c>
      <c r="Y76" s="31">
        <v>191990</v>
      </c>
      <c r="Z76" s="31">
        <v>7872</v>
      </c>
      <c r="AA76" s="31">
        <v>600</v>
      </c>
      <c r="AB76" s="31">
        <v>200462</v>
      </c>
    </row>
    <row r="77" spans="24:28">
      <c r="X77" s="30">
        <v>76</v>
      </c>
      <c r="Y77" s="31">
        <v>194155</v>
      </c>
      <c r="Z77" s="31">
        <v>13644</v>
      </c>
      <c r="AA77" s="31">
        <v>600</v>
      </c>
      <c r="AB77" s="31">
        <v>208399</v>
      </c>
    </row>
    <row r="78" spans="24:28">
      <c r="X78" s="30">
        <v>77</v>
      </c>
      <c r="Y78" s="31">
        <v>192950</v>
      </c>
      <c r="Z78" s="31">
        <v>22176</v>
      </c>
      <c r="AA78" s="31">
        <v>450</v>
      </c>
      <c r="AB78" s="31">
        <v>215576</v>
      </c>
    </row>
    <row r="79" spans="24:28">
      <c r="X79" s="30">
        <v>78</v>
      </c>
      <c r="Y79" s="31">
        <v>175625</v>
      </c>
      <c r="Z79" s="31">
        <v>17916</v>
      </c>
      <c r="AA79" s="31">
        <v>600</v>
      </c>
      <c r="AB79" s="31">
        <v>194141</v>
      </c>
    </row>
    <row r="80" spans="24:28">
      <c r="X80" s="30">
        <v>79</v>
      </c>
      <c r="Y80" s="31">
        <v>165200</v>
      </c>
      <c r="Z80" s="31">
        <v>4620</v>
      </c>
      <c r="AA80" s="31">
        <v>600</v>
      </c>
      <c r="AB80" s="31">
        <v>170420</v>
      </c>
    </row>
    <row r="81" spans="24:28">
      <c r="X81" s="30">
        <v>80</v>
      </c>
      <c r="Y81" s="31">
        <v>182080</v>
      </c>
      <c r="Z81" s="31">
        <v>12252</v>
      </c>
      <c r="AA81" s="31">
        <v>600</v>
      </c>
      <c r="AB81" s="31">
        <v>194932</v>
      </c>
    </row>
    <row r="82" spans="24:28">
      <c r="X82" s="30">
        <v>81</v>
      </c>
      <c r="Y82" s="31">
        <v>192635</v>
      </c>
      <c r="Z82" s="31">
        <v>9684</v>
      </c>
      <c r="AA82" s="31">
        <v>600</v>
      </c>
      <c r="AB82" s="31">
        <v>202919</v>
      </c>
    </row>
    <row r="83" spans="24:28">
      <c r="X83" s="30">
        <v>82</v>
      </c>
      <c r="Y83" s="31">
        <v>178910</v>
      </c>
      <c r="Z83" s="31">
        <v>6696</v>
      </c>
      <c r="AA83" s="31">
        <v>600</v>
      </c>
      <c r="AB83" s="31">
        <v>186206</v>
      </c>
    </row>
    <row r="84" spans="24:28">
      <c r="X84" s="30">
        <v>83</v>
      </c>
      <c r="Y84" s="31">
        <v>216490</v>
      </c>
      <c r="Z84" s="31">
        <v>9348</v>
      </c>
      <c r="AA84" s="31">
        <v>600</v>
      </c>
      <c r="AB84" s="31">
        <v>226438</v>
      </c>
    </row>
    <row r="85" spans="24:28">
      <c r="X85" s="30">
        <v>84</v>
      </c>
      <c r="Y85" s="31">
        <v>207305</v>
      </c>
      <c r="Z85" s="31">
        <v>10632</v>
      </c>
      <c r="AA85" s="31">
        <v>600</v>
      </c>
      <c r="AB85" s="31">
        <v>218537</v>
      </c>
    </row>
    <row r="86" spans="24:28">
      <c r="X86" s="30">
        <v>85</v>
      </c>
      <c r="Y86" s="31">
        <v>149950</v>
      </c>
      <c r="Z86" s="31">
        <v>14592</v>
      </c>
      <c r="AA86" s="31">
        <v>600</v>
      </c>
      <c r="AB86" s="31">
        <v>165142</v>
      </c>
    </row>
    <row r="87" spans="24:28">
      <c r="X87" s="30">
        <v>86</v>
      </c>
      <c r="Y87" s="31">
        <v>252575</v>
      </c>
      <c r="Z87" s="31">
        <v>15996</v>
      </c>
      <c r="AA87" s="31">
        <v>600</v>
      </c>
      <c r="AB87" s="31">
        <v>269171</v>
      </c>
    </row>
    <row r="88" spans="24:28">
      <c r="X88" s="30">
        <v>87</v>
      </c>
      <c r="Y88" s="31">
        <v>175585</v>
      </c>
      <c r="Z88" s="31">
        <v>2712</v>
      </c>
      <c r="AA88" s="31">
        <v>600</v>
      </c>
      <c r="AB88" s="31">
        <v>178897</v>
      </c>
    </row>
    <row r="89" spans="24:28">
      <c r="X89" s="30">
        <v>88</v>
      </c>
      <c r="Y89" s="31">
        <v>199210</v>
      </c>
      <c r="Z89" s="31">
        <v>3360</v>
      </c>
      <c r="AA89" s="31">
        <v>600</v>
      </c>
      <c r="AB89" s="31">
        <v>203170</v>
      </c>
    </row>
    <row r="90" spans="24:28">
      <c r="X90" s="30">
        <v>89</v>
      </c>
      <c r="Y90" s="31">
        <v>202145</v>
      </c>
      <c r="Z90" s="31">
        <v>24744</v>
      </c>
      <c r="AA90" s="31">
        <v>450</v>
      </c>
      <c r="AB90" s="31">
        <v>227339</v>
      </c>
    </row>
    <row r="91" spans="24:28">
      <c r="X91" s="30">
        <v>90</v>
      </c>
      <c r="Y91" s="31">
        <v>203635</v>
      </c>
      <c r="Z91" s="31">
        <v>96</v>
      </c>
      <c r="AA91" s="31">
        <v>600</v>
      </c>
      <c r="AB91" s="31">
        <v>204331</v>
      </c>
    </row>
    <row r="92" spans="24:28">
      <c r="X92" s="30">
        <v>91</v>
      </c>
      <c r="Y92" s="31">
        <v>143880</v>
      </c>
      <c r="Z92" s="31">
        <v>3120</v>
      </c>
      <c r="AA92" s="31">
        <v>600</v>
      </c>
      <c r="AB92" s="31">
        <v>147600</v>
      </c>
    </row>
    <row r="93" spans="24:28">
      <c r="X93" s="30">
        <v>92</v>
      </c>
      <c r="Y93" s="31">
        <v>170930</v>
      </c>
      <c r="Z93" s="31">
        <v>12372</v>
      </c>
      <c r="AA93" s="31">
        <v>600</v>
      </c>
      <c r="AB93" s="31">
        <v>183902</v>
      </c>
    </row>
    <row r="94" spans="24:28">
      <c r="X94" s="30">
        <v>93</v>
      </c>
      <c r="Y94" s="31">
        <v>173050</v>
      </c>
      <c r="Z94" s="31">
        <v>16344</v>
      </c>
      <c r="AA94" s="31">
        <v>600</v>
      </c>
      <c r="AB94" s="31">
        <v>189994</v>
      </c>
    </row>
    <row r="95" spans="24:28">
      <c r="X95" s="30">
        <v>94</v>
      </c>
      <c r="Y95" s="31">
        <v>226520</v>
      </c>
      <c r="Z95" s="31">
        <v>17760</v>
      </c>
      <c r="AA95" s="31">
        <v>600</v>
      </c>
      <c r="AB95" s="31">
        <v>244880</v>
      </c>
    </row>
    <row r="96" spans="24:28">
      <c r="X96" s="30">
        <v>95</v>
      </c>
      <c r="Y96" s="31">
        <v>202880</v>
      </c>
      <c r="Z96" s="31">
        <v>12492</v>
      </c>
      <c r="AA96" s="31">
        <v>600</v>
      </c>
      <c r="AB96" s="31">
        <v>215972</v>
      </c>
    </row>
    <row r="97" spans="24:28">
      <c r="X97" s="30">
        <v>96</v>
      </c>
      <c r="Y97" s="31">
        <v>189105</v>
      </c>
      <c r="Z97" s="31">
        <v>22920</v>
      </c>
      <c r="AA97" s="31">
        <v>450</v>
      </c>
      <c r="AB97" s="31">
        <v>212475</v>
      </c>
    </row>
    <row r="98" spans="24:28">
      <c r="X98" s="30">
        <v>97</v>
      </c>
      <c r="Y98" s="31">
        <v>165210</v>
      </c>
      <c r="Z98" s="31">
        <v>6840</v>
      </c>
      <c r="AA98" s="31">
        <v>600</v>
      </c>
      <c r="AB98" s="31">
        <v>172650</v>
      </c>
    </row>
    <row r="99" spans="24:28">
      <c r="X99" s="30">
        <v>98</v>
      </c>
      <c r="Y99" s="31">
        <v>147105</v>
      </c>
      <c r="Z99" s="31">
        <v>6420</v>
      </c>
      <c r="AA99" s="31">
        <v>600</v>
      </c>
      <c r="AB99" s="31">
        <v>154125</v>
      </c>
    </row>
    <row r="100" spans="24:28">
      <c r="X100" s="30">
        <v>99</v>
      </c>
      <c r="Y100" s="31">
        <v>180280</v>
      </c>
      <c r="Z100" s="31">
        <v>14028</v>
      </c>
      <c r="AA100" s="31">
        <v>600</v>
      </c>
      <c r="AB100" s="31">
        <v>194908</v>
      </c>
    </row>
    <row r="101" spans="24:28">
      <c r="X101" s="30">
        <v>100</v>
      </c>
      <c r="Y101" s="31">
        <v>172235</v>
      </c>
      <c r="Z101" s="31">
        <v>17088</v>
      </c>
      <c r="AA101" s="31">
        <v>450</v>
      </c>
      <c r="AB101" s="31">
        <v>189773</v>
      </c>
    </row>
    <row r="102" spans="24:28">
      <c r="X102" s="30">
        <v>101</v>
      </c>
      <c r="Y102" s="31">
        <v>234280</v>
      </c>
      <c r="Z102" s="31">
        <v>11964</v>
      </c>
      <c r="AA102" s="31">
        <v>600</v>
      </c>
      <c r="AB102" s="31">
        <v>246844</v>
      </c>
    </row>
    <row r="103" spans="24:28">
      <c r="X103" s="30">
        <v>102</v>
      </c>
      <c r="Y103" s="31">
        <v>213270</v>
      </c>
      <c r="Z103" s="31">
        <v>8736</v>
      </c>
      <c r="AA103" s="31">
        <v>600</v>
      </c>
      <c r="AB103" s="31">
        <v>222606</v>
      </c>
    </row>
    <row r="104" spans="24:28">
      <c r="X104" s="30">
        <v>103</v>
      </c>
      <c r="Y104" s="31">
        <v>229655</v>
      </c>
      <c r="Z104" s="31">
        <v>8916</v>
      </c>
      <c r="AA104" s="31">
        <v>600</v>
      </c>
      <c r="AB104" s="31">
        <v>239171</v>
      </c>
    </row>
    <row r="105" spans="24:28">
      <c r="X105" s="30">
        <v>104</v>
      </c>
      <c r="Y105" s="31">
        <v>202115</v>
      </c>
      <c r="Z105" s="31">
        <v>7896</v>
      </c>
      <c r="AA105" s="31">
        <v>600</v>
      </c>
      <c r="AB105" s="31">
        <v>210611</v>
      </c>
    </row>
    <row r="106" spans="24:28">
      <c r="X106" s="30">
        <v>105</v>
      </c>
      <c r="Y106" s="31">
        <v>181165</v>
      </c>
      <c r="Z106" s="31">
        <v>18420</v>
      </c>
      <c r="AA106" s="31">
        <v>600</v>
      </c>
      <c r="AB106" s="31">
        <v>200185</v>
      </c>
    </row>
    <row r="107" spans="24:28">
      <c r="X107" s="30">
        <v>106</v>
      </c>
      <c r="Y107" s="31">
        <v>166635</v>
      </c>
      <c r="Z107" s="31">
        <v>15432</v>
      </c>
      <c r="AA107" s="31">
        <v>600</v>
      </c>
      <c r="AB107" s="31">
        <v>182667</v>
      </c>
    </row>
    <row r="108" spans="24:28">
      <c r="X108" s="30">
        <v>107</v>
      </c>
      <c r="Y108" s="31">
        <v>224460</v>
      </c>
      <c r="Z108" s="31">
        <v>7680</v>
      </c>
      <c r="AA108" s="31">
        <v>600</v>
      </c>
      <c r="AB108" s="31">
        <v>232740</v>
      </c>
    </row>
    <row r="109" spans="24:28">
      <c r="X109" s="30">
        <v>108</v>
      </c>
      <c r="Y109" s="31">
        <v>207460</v>
      </c>
      <c r="Z109" s="31">
        <v>8160</v>
      </c>
      <c r="AA109" s="31">
        <v>600</v>
      </c>
      <c r="AB109" s="31">
        <v>216220</v>
      </c>
    </row>
    <row r="110" spans="24:28">
      <c r="X110" s="30">
        <v>109</v>
      </c>
      <c r="Y110" s="31">
        <v>238620</v>
      </c>
      <c r="Z110" s="31">
        <v>8292</v>
      </c>
      <c r="AA110" s="31">
        <v>600</v>
      </c>
      <c r="AB110" s="31">
        <v>247512</v>
      </c>
    </row>
    <row r="111" spans="24:28">
      <c r="X111" s="30">
        <v>110</v>
      </c>
      <c r="Y111" s="31">
        <v>200030</v>
      </c>
      <c r="Z111" s="31">
        <v>2088</v>
      </c>
      <c r="AA111" s="31">
        <v>600</v>
      </c>
      <c r="AB111" s="31">
        <v>202718</v>
      </c>
    </row>
    <row r="112" spans="24:28">
      <c r="X112" s="30">
        <v>111</v>
      </c>
      <c r="Y112" s="31">
        <v>160485</v>
      </c>
      <c r="Z112" s="31">
        <v>16776</v>
      </c>
      <c r="AA112" s="31">
        <v>600</v>
      </c>
      <c r="AB112" s="31">
        <v>177861</v>
      </c>
    </row>
    <row r="113" spans="24:28">
      <c r="X113" s="30">
        <v>112</v>
      </c>
      <c r="Y113" s="31">
        <v>203495</v>
      </c>
      <c r="Z113" s="31">
        <v>4440</v>
      </c>
      <c r="AA113" s="31">
        <v>600</v>
      </c>
      <c r="AB113" s="31">
        <v>208535</v>
      </c>
    </row>
    <row r="114" spans="24:28">
      <c r="X114" s="30">
        <v>113</v>
      </c>
      <c r="Y114" s="31">
        <v>211910</v>
      </c>
      <c r="Z114" s="31">
        <v>5844</v>
      </c>
      <c r="AA114" s="31">
        <v>600</v>
      </c>
      <c r="AB114" s="31">
        <v>218354</v>
      </c>
    </row>
    <row r="115" spans="24:28">
      <c r="X115" s="30">
        <v>114</v>
      </c>
      <c r="Y115" s="31">
        <v>225160</v>
      </c>
      <c r="Z115" s="31">
        <v>16128</v>
      </c>
      <c r="AA115" s="31">
        <v>600</v>
      </c>
      <c r="AB115" s="31">
        <v>241888</v>
      </c>
    </row>
    <row r="116" spans="24:28">
      <c r="X116" s="30">
        <v>115</v>
      </c>
      <c r="Y116" s="31">
        <v>152425</v>
      </c>
      <c r="Z116" s="31">
        <v>18012</v>
      </c>
      <c r="AA116" s="31">
        <v>600</v>
      </c>
      <c r="AB116" s="31">
        <v>171037</v>
      </c>
    </row>
    <row r="117" spans="24:28">
      <c r="X117" s="30">
        <v>116</v>
      </c>
      <c r="Y117" s="31">
        <v>182735</v>
      </c>
      <c r="Z117" s="31">
        <v>19068</v>
      </c>
      <c r="AA117" s="31">
        <v>600</v>
      </c>
      <c r="AB117" s="31">
        <v>202403</v>
      </c>
    </row>
    <row r="118" spans="24:28">
      <c r="X118" s="30">
        <v>117</v>
      </c>
      <c r="Y118" s="31">
        <v>195205</v>
      </c>
      <c r="Z118" s="31">
        <v>1848</v>
      </c>
      <c r="AA118" s="31">
        <v>600</v>
      </c>
      <c r="AB118" s="31">
        <v>197653</v>
      </c>
    </row>
    <row r="119" spans="24:28">
      <c r="X119" s="30">
        <v>118</v>
      </c>
      <c r="Y119" s="31">
        <v>157530</v>
      </c>
      <c r="Z119" s="31">
        <v>13992</v>
      </c>
      <c r="AA119" s="31">
        <v>600</v>
      </c>
      <c r="AB119" s="31">
        <v>172122</v>
      </c>
    </row>
    <row r="120" spans="24:28">
      <c r="X120" s="30">
        <v>119</v>
      </c>
      <c r="Y120" s="31">
        <v>215045</v>
      </c>
      <c r="Z120" s="31">
        <v>12924</v>
      </c>
      <c r="AA120" s="31">
        <v>600</v>
      </c>
      <c r="AB120" s="31">
        <v>228569</v>
      </c>
    </row>
    <row r="121" spans="24:28">
      <c r="X121" s="30">
        <v>120</v>
      </c>
      <c r="Y121" s="31">
        <v>230835</v>
      </c>
      <c r="Z121" s="31">
        <v>8544</v>
      </c>
      <c r="AA121" s="31">
        <v>600</v>
      </c>
      <c r="AB121" s="31">
        <v>239979</v>
      </c>
    </row>
    <row r="122" spans="24:28">
      <c r="X122" s="30">
        <v>121</v>
      </c>
      <c r="Y122" s="31">
        <v>180680</v>
      </c>
      <c r="Z122" s="31">
        <v>15036</v>
      </c>
      <c r="AA122" s="31">
        <v>600</v>
      </c>
      <c r="AB122" s="31">
        <v>196316</v>
      </c>
    </row>
    <row r="123" spans="24:28">
      <c r="X123" s="30">
        <v>122</v>
      </c>
      <c r="Y123" s="31">
        <v>236215</v>
      </c>
      <c r="Z123" s="31">
        <v>6972</v>
      </c>
      <c r="AA123" s="31">
        <v>600</v>
      </c>
      <c r="AB123" s="31">
        <v>243787</v>
      </c>
    </row>
    <row r="124" spans="24:28">
      <c r="X124" s="30">
        <v>123</v>
      </c>
      <c r="Y124" s="31">
        <v>152465</v>
      </c>
      <c r="Z124" s="31">
        <v>5664</v>
      </c>
      <c r="AA124" s="31">
        <v>600</v>
      </c>
      <c r="AB124" s="31">
        <v>158729</v>
      </c>
    </row>
    <row r="125" spans="24:28">
      <c r="X125" s="30">
        <v>124</v>
      </c>
      <c r="Y125" s="31">
        <v>215975</v>
      </c>
      <c r="Z125" s="31">
        <v>17844</v>
      </c>
      <c r="AA125" s="31">
        <v>600</v>
      </c>
      <c r="AB125" s="31">
        <v>234419</v>
      </c>
    </row>
    <row r="126" spans="24:28">
      <c r="X126" s="30">
        <v>125</v>
      </c>
      <c r="Y126" s="31">
        <v>181800</v>
      </c>
      <c r="Z126" s="31">
        <v>18864</v>
      </c>
      <c r="AA126" s="31">
        <v>600</v>
      </c>
      <c r="AB126" s="31">
        <v>201264</v>
      </c>
    </row>
    <row r="127" spans="24:28">
      <c r="X127" s="30">
        <v>126</v>
      </c>
      <c r="Y127" s="31">
        <v>195185</v>
      </c>
      <c r="Z127" s="31">
        <v>16356</v>
      </c>
      <c r="AA127" s="31">
        <v>450</v>
      </c>
      <c r="AB127" s="31">
        <v>211991</v>
      </c>
    </row>
    <row r="128" spans="24:28">
      <c r="X128" s="30">
        <v>127</v>
      </c>
      <c r="Y128" s="31">
        <v>173390</v>
      </c>
      <c r="Z128" s="31">
        <v>17400</v>
      </c>
      <c r="AA128" s="31">
        <v>600</v>
      </c>
      <c r="AB128" s="31">
        <v>191390</v>
      </c>
    </row>
    <row r="129" spans="24:28">
      <c r="X129" s="30">
        <v>128</v>
      </c>
      <c r="Y129" s="31">
        <v>164345</v>
      </c>
      <c r="Z129" s="31">
        <v>3468</v>
      </c>
      <c r="AA129" s="31">
        <v>600</v>
      </c>
      <c r="AB129" s="31">
        <v>168413</v>
      </c>
    </row>
    <row r="130" spans="24:28">
      <c r="X130" s="30">
        <v>129</v>
      </c>
      <c r="Y130" s="31">
        <v>241515</v>
      </c>
      <c r="Z130" s="31">
        <v>12156</v>
      </c>
      <c r="AA130" s="31">
        <v>600</v>
      </c>
      <c r="AB130" s="31">
        <v>254271</v>
      </c>
    </row>
    <row r="131" spans="24:28">
      <c r="X131" s="30">
        <v>130</v>
      </c>
      <c r="Y131" s="31">
        <v>209010</v>
      </c>
      <c r="Z131" s="31">
        <v>13536</v>
      </c>
      <c r="AA131" s="31">
        <v>600</v>
      </c>
      <c r="AB131" s="31">
        <v>223146</v>
      </c>
    </row>
    <row r="132" spans="24:28">
      <c r="X132" s="30">
        <v>131</v>
      </c>
      <c r="Y132" s="31">
        <v>166430</v>
      </c>
      <c r="Z132" s="31">
        <v>240</v>
      </c>
      <c r="AA132" s="31">
        <v>600</v>
      </c>
      <c r="AB132" s="31">
        <v>167270</v>
      </c>
    </row>
    <row r="133" spans="24:28">
      <c r="X133" s="30">
        <v>132</v>
      </c>
      <c r="Y133" s="31">
        <v>172975</v>
      </c>
      <c r="Z133" s="31">
        <v>10068</v>
      </c>
      <c r="AA133" s="31">
        <v>600</v>
      </c>
      <c r="AB133" s="31">
        <v>183643</v>
      </c>
    </row>
    <row r="134" spans="24:28">
      <c r="X134" s="30">
        <v>133</v>
      </c>
      <c r="Y134" s="31">
        <v>135695</v>
      </c>
      <c r="Z134" s="31">
        <v>10632</v>
      </c>
      <c r="AA134" s="31">
        <v>600</v>
      </c>
      <c r="AB134" s="31">
        <v>146927</v>
      </c>
    </row>
    <row r="135" spans="24:28">
      <c r="X135" s="30">
        <v>134</v>
      </c>
      <c r="Y135" s="31">
        <v>162670</v>
      </c>
      <c r="Z135" s="31">
        <v>6612</v>
      </c>
      <c r="AA135" s="31">
        <v>600</v>
      </c>
      <c r="AB135" s="31">
        <v>169882</v>
      </c>
    </row>
    <row r="136" spans="24:28">
      <c r="X136" s="30">
        <v>135</v>
      </c>
      <c r="Y136" s="31">
        <v>157460</v>
      </c>
      <c r="Z136" s="31">
        <v>14988</v>
      </c>
      <c r="AA136" s="31">
        <v>600</v>
      </c>
      <c r="AB136" s="31">
        <v>173048</v>
      </c>
    </row>
    <row r="137" spans="24:28">
      <c r="X137" s="30">
        <v>136</v>
      </c>
      <c r="Y137" s="31">
        <v>217865</v>
      </c>
      <c r="Z137" s="31">
        <v>12228</v>
      </c>
      <c r="AA137" s="31">
        <v>600</v>
      </c>
      <c r="AB137" s="31">
        <v>230693</v>
      </c>
    </row>
    <row r="138" spans="24:28">
      <c r="X138" s="30">
        <v>137</v>
      </c>
      <c r="Y138" s="31">
        <v>205850</v>
      </c>
      <c r="Z138" s="31">
        <v>7608</v>
      </c>
      <c r="AA138" s="31">
        <v>600</v>
      </c>
      <c r="AB138" s="31">
        <v>214058</v>
      </c>
    </row>
    <row r="139" spans="24:28">
      <c r="X139" s="30">
        <v>138</v>
      </c>
      <c r="Y139" s="31">
        <v>208545</v>
      </c>
      <c r="Z139" s="31">
        <v>12984</v>
      </c>
      <c r="AA139" s="31">
        <v>600</v>
      </c>
      <c r="AB139" s="31">
        <v>222129</v>
      </c>
    </row>
    <row r="140" spans="24:28">
      <c r="X140" s="30">
        <v>139</v>
      </c>
      <c r="Y140" s="31">
        <v>193430</v>
      </c>
      <c r="Z140" s="31">
        <v>25500</v>
      </c>
      <c r="AA140" s="31">
        <v>600</v>
      </c>
      <c r="AB140" s="31">
        <v>219530</v>
      </c>
    </row>
    <row r="141" spans="24:28">
      <c r="X141" s="30">
        <v>140</v>
      </c>
      <c r="Y141" s="31">
        <v>162600</v>
      </c>
      <c r="Z141" s="31">
        <v>9516</v>
      </c>
      <c r="AA141" s="31">
        <v>600</v>
      </c>
      <c r="AB141" s="31">
        <v>172716</v>
      </c>
    </row>
    <row r="142" spans="24:28">
      <c r="X142" s="30">
        <v>141</v>
      </c>
      <c r="Y142" s="31">
        <v>179295</v>
      </c>
      <c r="Z142" s="31">
        <v>12600</v>
      </c>
      <c r="AA142" s="31">
        <v>600</v>
      </c>
      <c r="AB142" s="31">
        <v>192495</v>
      </c>
    </row>
    <row r="143" spans="24:28">
      <c r="X143" s="30">
        <v>142</v>
      </c>
      <c r="Y143" s="31">
        <v>195730</v>
      </c>
      <c r="Z143" s="31">
        <v>7032</v>
      </c>
      <c r="AA143" s="31">
        <v>600</v>
      </c>
      <c r="AB143" s="31">
        <v>203362</v>
      </c>
    </row>
    <row r="144" spans="24:28">
      <c r="X144" s="30">
        <v>143</v>
      </c>
      <c r="Y144" s="31">
        <v>224500</v>
      </c>
      <c r="Z144" s="31">
        <v>12372</v>
      </c>
      <c r="AA144" s="31">
        <v>600</v>
      </c>
      <c r="AB144" s="31">
        <v>237472</v>
      </c>
    </row>
    <row r="145" spans="24:28">
      <c r="X145" s="30">
        <v>144</v>
      </c>
      <c r="Y145" s="31">
        <v>200255</v>
      </c>
      <c r="Z145" s="31">
        <v>8004</v>
      </c>
      <c r="AA145" s="31">
        <v>600</v>
      </c>
      <c r="AB145" s="31">
        <v>208859</v>
      </c>
    </row>
    <row r="146" spans="24:28">
      <c r="X146" s="30">
        <v>145</v>
      </c>
      <c r="Y146" s="31">
        <v>183150</v>
      </c>
      <c r="Z146" s="31">
        <v>12600</v>
      </c>
      <c r="AA146" s="31">
        <v>600</v>
      </c>
      <c r="AB146" s="31">
        <v>196350</v>
      </c>
    </row>
    <row r="147" spans="24:28">
      <c r="X147" s="30">
        <v>146</v>
      </c>
      <c r="Y147" s="31">
        <v>212525</v>
      </c>
      <c r="Z147" s="31">
        <v>9444</v>
      </c>
      <c r="AA147" s="31">
        <v>600</v>
      </c>
      <c r="AB147" s="31">
        <v>222569</v>
      </c>
    </row>
    <row r="148" spans="24:28">
      <c r="X148" s="30">
        <v>147</v>
      </c>
      <c r="Y148" s="31">
        <v>195020</v>
      </c>
      <c r="Z148" s="31">
        <v>1368</v>
      </c>
      <c r="AA148" s="31">
        <v>600</v>
      </c>
      <c r="AB148" s="31">
        <v>196988</v>
      </c>
    </row>
    <row r="149" spans="24:28">
      <c r="X149" s="30">
        <v>148</v>
      </c>
      <c r="Y149" s="31">
        <v>167830</v>
      </c>
      <c r="Z149" s="31">
        <v>5112</v>
      </c>
      <c r="AA149" s="31">
        <v>600</v>
      </c>
      <c r="AB149" s="31">
        <v>173542</v>
      </c>
    </row>
    <row r="150" spans="24:28">
      <c r="X150" s="30">
        <v>149</v>
      </c>
      <c r="Y150" s="31">
        <v>162295</v>
      </c>
      <c r="Z150" s="31">
        <v>6588</v>
      </c>
      <c r="AA150" s="31">
        <v>600</v>
      </c>
      <c r="AB150" s="31">
        <v>169483</v>
      </c>
    </row>
    <row r="151" spans="24:28">
      <c r="X151" s="30">
        <v>150</v>
      </c>
      <c r="Y151" s="31">
        <v>161035</v>
      </c>
      <c r="Z151" s="31">
        <v>13044</v>
      </c>
      <c r="AA151" s="31">
        <v>600</v>
      </c>
      <c r="AB151" s="31">
        <v>174679</v>
      </c>
    </row>
    <row r="152" spans="24:28">
      <c r="X152" s="30">
        <v>151</v>
      </c>
      <c r="Y152" s="31">
        <v>198155</v>
      </c>
      <c r="Z152" s="31">
        <v>9732</v>
      </c>
      <c r="AA152" s="31">
        <v>600</v>
      </c>
      <c r="AB152" s="31">
        <v>208487</v>
      </c>
    </row>
    <row r="153" spans="24:28">
      <c r="X153" s="30">
        <v>152</v>
      </c>
      <c r="Y153" s="31">
        <v>193785</v>
      </c>
      <c r="Z153" s="31">
        <v>21312</v>
      </c>
      <c r="AA153" s="31">
        <v>450</v>
      </c>
      <c r="AB153" s="31">
        <v>215547</v>
      </c>
    </row>
    <row r="154" spans="24:28">
      <c r="X154" s="30">
        <v>153</v>
      </c>
      <c r="Y154" s="31">
        <v>143355</v>
      </c>
      <c r="Z154" s="31">
        <v>19248</v>
      </c>
      <c r="AA154" s="31">
        <v>600</v>
      </c>
      <c r="AB154" s="31">
        <v>163203</v>
      </c>
    </row>
    <row r="155" spans="24:28">
      <c r="X155" s="30">
        <v>154</v>
      </c>
      <c r="Y155" s="31">
        <v>193945</v>
      </c>
      <c r="Z155" s="31">
        <v>6552</v>
      </c>
      <c r="AA155" s="31">
        <v>600</v>
      </c>
      <c r="AB155" s="31">
        <v>201097</v>
      </c>
    </row>
    <row r="156" spans="24:28">
      <c r="X156" s="30">
        <v>155</v>
      </c>
      <c r="Y156" s="31">
        <v>222095</v>
      </c>
      <c r="Z156" s="31">
        <v>14448</v>
      </c>
      <c r="AA156" s="31">
        <v>600</v>
      </c>
      <c r="AB156" s="31">
        <v>237143</v>
      </c>
    </row>
    <row r="157" spans="24:28">
      <c r="X157" s="30">
        <v>156</v>
      </c>
      <c r="Y157" s="31">
        <v>192375</v>
      </c>
      <c r="Z157" s="31">
        <v>7428</v>
      </c>
      <c r="AA157" s="31">
        <v>600</v>
      </c>
      <c r="AB157" s="31">
        <v>200403</v>
      </c>
    </row>
    <row r="158" spans="24:28">
      <c r="X158" s="30">
        <v>157</v>
      </c>
      <c r="Y158" s="31">
        <v>154285</v>
      </c>
      <c r="Z158" s="31">
        <v>8748</v>
      </c>
      <c r="AA158" s="31">
        <v>600</v>
      </c>
      <c r="AB158" s="31">
        <v>163633</v>
      </c>
    </row>
    <row r="159" spans="24:28">
      <c r="X159" s="30">
        <v>158</v>
      </c>
      <c r="Y159" s="31">
        <v>144640</v>
      </c>
      <c r="Z159" s="31">
        <v>1884</v>
      </c>
      <c r="AA159" s="31">
        <v>600</v>
      </c>
      <c r="AB159" s="31">
        <v>147124</v>
      </c>
    </row>
    <row r="160" spans="24:28">
      <c r="X160" s="30">
        <v>159</v>
      </c>
      <c r="Y160" s="31">
        <v>148105</v>
      </c>
      <c r="Z160" s="31">
        <v>12504</v>
      </c>
      <c r="AA160" s="31">
        <v>600</v>
      </c>
      <c r="AB160" s="31">
        <v>161209</v>
      </c>
    </row>
    <row r="161" spans="24:28">
      <c r="X161" s="30">
        <v>160</v>
      </c>
      <c r="Y161" s="31">
        <v>183485</v>
      </c>
      <c r="Z161" s="31">
        <v>4968</v>
      </c>
      <c r="AA161" s="31">
        <v>600</v>
      </c>
      <c r="AB161" s="31">
        <v>189053</v>
      </c>
    </row>
    <row r="162" spans="24:28">
      <c r="X162" s="30">
        <v>161</v>
      </c>
      <c r="Y162" s="31">
        <v>179740</v>
      </c>
      <c r="Z162" s="31">
        <v>7608</v>
      </c>
      <c r="AA162" s="31">
        <v>600</v>
      </c>
      <c r="AB162" s="31">
        <v>187948</v>
      </c>
    </row>
    <row r="163" spans="24:28">
      <c r="X163" s="30">
        <v>162</v>
      </c>
      <c r="Y163" s="31">
        <v>174350</v>
      </c>
      <c r="Z163" s="31">
        <v>10800</v>
      </c>
      <c r="AA163" s="31">
        <v>600</v>
      </c>
      <c r="AB163" s="31">
        <v>185750</v>
      </c>
    </row>
    <row r="164" spans="24:28">
      <c r="X164" s="30">
        <v>163</v>
      </c>
      <c r="Y164" s="31">
        <v>278740</v>
      </c>
      <c r="Z164" s="31">
        <v>5604</v>
      </c>
      <c r="AA164" s="31">
        <v>600</v>
      </c>
      <c r="AB164" s="31">
        <v>284944</v>
      </c>
    </row>
    <row r="165" spans="24:28">
      <c r="X165" s="30">
        <v>164</v>
      </c>
      <c r="Y165" s="31">
        <v>246845</v>
      </c>
      <c r="Z165" s="31">
        <v>9672</v>
      </c>
      <c r="AA165" s="31">
        <v>600</v>
      </c>
      <c r="AB165" s="31">
        <v>257117</v>
      </c>
    </row>
    <row r="166" spans="24:28">
      <c r="X166" s="30">
        <v>165</v>
      </c>
      <c r="Y166" s="31">
        <v>196535</v>
      </c>
      <c r="Z166" s="31">
        <v>10308</v>
      </c>
      <c r="AA166" s="31">
        <v>600</v>
      </c>
      <c r="AB166" s="31">
        <v>207443</v>
      </c>
    </row>
    <row r="167" spans="24:28">
      <c r="X167" s="30">
        <v>166</v>
      </c>
      <c r="Y167" s="31">
        <v>244120</v>
      </c>
      <c r="Z167" s="31">
        <v>11676</v>
      </c>
      <c r="AA167" s="31">
        <v>600</v>
      </c>
      <c r="AB167" s="31">
        <v>256396</v>
      </c>
    </row>
    <row r="168" spans="24:28">
      <c r="X168" s="30">
        <v>167</v>
      </c>
      <c r="Y168" s="31">
        <v>155020</v>
      </c>
      <c r="Z168" s="31">
        <v>7164</v>
      </c>
      <c r="AA168" s="31">
        <v>600</v>
      </c>
      <c r="AB168" s="31">
        <v>162784</v>
      </c>
    </row>
    <row r="169" spans="24:28">
      <c r="X169" s="30">
        <v>168</v>
      </c>
      <c r="Y169" s="31">
        <v>213950</v>
      </c>
      <c r="Z169" s="31">
        <v>8232</v>
      </c>
      <c r="AA169" s="31">
        <v>600</v>
      </c>
      <c r="AB169" s="31">
        <v>222782</v>
      </c>
    </row>
    <row r="170" spans="24:28">
      <c r="X170" s="30">
        <v>169</v>
      </c>
      <c r="Y170" s="31">
        <v>173325</v>
      </c>
      <c r="Z170" s="31">
        <v>15864</v>
      </c>
      <c r="AA170" s="31">
        <v>600</v>
      </c>
      <c r="AB170" s="31">
        <v>189789</v>
      </c>
    </row>
    <row r="171" spans="24:28">
      <c r="X171" s="30">
        <v>170</v>
      </c>
      <c r="Y171" s="31">
        <v>233405</v>
      </c>
      <c r="Z171" s="31">
        <v>0</v>
      </c>
      <c r="AA171" s="31">
        <v>600</v>
      </c>
      <c r="AB171" s="31">
        <v>234005</v>
      </c>
    </row>
    <row r="172" spans="24:28">
      <c r="X172" s="30">
        <v>171</v>
      </c>
      <c r="Y172" s="31">
        <v>244410</v>
      </c>
      <c r="Z172" s="31">
        <v>8220</v>
      </c>
      <c r="AA172" s="31">
        <v>600</v>
      </c>
      <c r="AB172" s="31">
        <v>253230</v>
      </c>
    </row>
    <row r="173" spans="24:28">
      <c r="X173" s="30">
        <v>172</v>
      </c>
      <c r="Y173" s="31">
        <v>152910</v>
      </c>
      <c r="Z173" s="31">
        <v>2076</v>
      </c>
      <c r="AA173" s="31">
        <v>600</v>
      </c>
      <c r="AB173" s="31">
        <v>155586</v>
      </c>
    </row>
    <row r="174" spans="24:28">
      <c r="X174" s="30">
        <v>173</v>
      </c>
      <c r="Y174" s="31">
        <v>170110</v>
      </c>
      <c r="Z174" s="31">
        <v>5520</v>
      </c>
      <c r="AA174" s="31">
        <v>600</v>
      </c>
      <c r="AB174" s="31">
        <v>176230</v>
      </c>
    </row>
    <row r="175" spans="24:28">
      <c r="X175" s="30">
        <v>174</v>
      </c>
      <c r="Y175" s="31">
        <v>212235</v>
      </c>
      <c r="Z175" s="31">
        <v>20016</v>
      </c>
      <c r="AA175" s="31">
        <v>450</v>
      </c>
      <c r="AB175" s="31">
        <v>232701</v>
      </c>
    </row>
    <row r="176" spans="24:28">
      <c r="X176" s="30">
        <v>175</v>
      </c>
      <c r="Y176" s="31">
        <v>239520</v>
      </c>
      <c r="Z176" s="31">
        <v>16488</v>
      </c>
      <c r="AA176" s="31">
        <v>600</v>
      </c>
      <c r="AB176" s="31">
        <v>256608</v>
      </c>
    </row>
    <row r="177" spans="24:28">
      <c r="X177" s="30">
        <v>176</v>
      </c>
      <c r="Y177" s="31">
        <v>183050</v>
      </c>
      <c r="Z177" s="31">
        <v>10404</v>
      </c>
      <c r="AA177" s="31">
        <v>600</v>
      </c>
      <c r="AB177" s="31">
        <v>194054</v>
      </c>
    </row>
    <row r="178" spans="24:28">
      <c r="X178" s="30">
        <v>177</v>
      </c>
      <c r="Y178" s="31">
        <v>231880</v>
      </c>
      <c r="Z178" s="31">
        <v>6492</v>
      </c>
      <c r="AA178" s="31">
        <v>600</v>
      </c>
      <c r="AB178" s="31">
        <v>238972</v>
      </c>
    </row>
    <row r="179" spans="24:28">
      <c r="X179" s="30">
        <v>178</v>
      </c>
      <c r="Y179" s="31">
        <v>164070</v>
      </c>
      <c r="Z179" s="31">
        <v>2580</v>
      </c>
      <c r="AA179" s="31">
        <v>600</v>
      </c>
      <c r="AB179" s="31">
        <v>167250</v>
      </c>
    </row>
    <row r="180" spans="24:28">
      <c r="X180" s="30">
        <v>179</v>
      </c>
      <c r="Y180" s="31">
        <v>231385</v>
      </c>
      <c r="Z180" s="31">
        <v>4956</v>
      </c>
      <c r="AA180" s="31">
        <v>600</v>
      </c>
      <c r="AB180" s="31">
        <v>236941</v>
      </c>
    </row>
    <row r="181" spans="24:28">
      <c r="X181" s="30">
        <v>180</v>
      </c>
      <c r="Y181" s="31">
        <v>188155</v>
      </c>
      <c r="Z181" s="31">
        <v>228</v>
      </c>
      <c r="AA181" s="31">
        <v>600</v>
      </c>
      <c r="AB181" s="31">
        <v>188983</v>
      </c>
    </row>
    <row r="182" spans="24:28">
      <c r="X182" s="30">
        <v>181</v>
      </c>
      <c r="Y182" s="31">
        <v>196340</v>
      </c>
      <c r="Z182" s="31">
        <v>19932</v>
      </c>
      <c r="AA182" s="31">
        <v>600</v>
      </c>
      <c r="AB182" s="31">
        <v>216872</v>
      </c>
    </row>
    <row r="183" spans="24:28">
      <c r="X183" s="30">
        <v>182</v>
      </c>
      <c r="Y183" s="31">
        <v>163460</v>
      </c>
      <c r="Z183" s="31">
        <v>15372</v>
      </c>
      <c r="AA183" s="31">
        <v>600</v>
      </c>
      <c r="AB183" s="31">
        <v>179432</v>
      </c>
    </row>
    <row r="184" spans="24:28">
      <c r="X184" s="30">
        <v>183</v>
      </c>
      <c r="Y184" s="31">
        <v>174115</v>
      </c>
      <c r="Z184" s="31">
        <v>9144</v>
      </c>
      <c r="AA184" s="31">
        <v>600</v>
      </c>
      <c r="AB184" s="31">
        <v>183859</v>
      </c>
    </row>
    <row r="185" spans="24:28">
      <c r="X185" s="30">
        <v>184</v>
      </c>
      <c r="Y185" s="31">
        <v>137665</v>
      </c>
      <c r="Z185" s="31">
        <v>11784</v>
      </c>
      <c r="AA185" s="31">
        <v>600</v>
      </c>
      <c r="AB185" s="31">
        <v>150049</v>
      </c>
    </row>
    <row r="186" spans="24:28">
      <c r="X186" s="30">
        <v>185</v>
      </c>
      <c r="Y186" s="31">
        <v>188210</v>
      </c>
      <c r="Z186" s="31">
        <v>7200</v>
      </c>
      <c r="AA186" s="31">
        <v>600</v>
      </c>
      <c r="AB186" s="31">
        <v>196010</v>
      </c>
    </row>
    <row r="187" spans="24:28">
      <c r="X187" s="30">
        <v>186</v>
      </c>
      <c r="Y187" s="31">
        <v>260285</v>
      </c>
      <c r="Z187" s="31">
        <v>17004</v>
      </c>
      <c r="AA187" s="31">
        <v>600</v>
      </c>
      <c r="AB187" s="31">
        <v>277889</v>
      </c>
    </row>
    <row r="188" spans="24:28">
      <c r="X188" s="30">
        <v>187</v>
      </c>
      <c r="Y188" s="31">
        <v>194120</v>
      </c>
      <c r="Z188" s="31">
        <v>13224</v>
      </c>
      <c r="AA188" s="31">
        <v>600</v>
      </c>
      <c r="AB188" s="31">
        <v>207944</v>
      </c>
    </row>
    <row r="189" spans="24:28">
      <c r="X189" s="30">
        <v>188</v>
      </c>
      <c r="Y189" s="31">
        <v>157940</v>
      </c>
      <c r="Z189" s="31">
        <v>17256</v>
      </c>
      <c r="AA189" s="31">
        <v>600</v>
      </c>
      <c r="AB189" s="31">
        <v>175796</v>
      </c>
    </row>
    <row r="190" spans="24:28">
      <c r="X190" s="30">
        <v>189</v>
      </c>
      <c r="Y190" s="31">
        <v>171575</v>
      </c>
      <c r="Z190" s="31">
        <v>12408</v>
      </c>
      <c r="AA190" s="31">
        <v>600</v>
      </c>
      <c r="AB190" s="31">
        <v>184583</v>
      </c>
    </row>
    <row r="191" spans="24:28">
      <c r="X191" s="30">
        <v>190</v>
      </c>
      <c r="Y191" s="31">
        <v>190485</v>
      </c>
      <c r="Z191" s="31">
        <v>8604</v>
      </c>
      <c r="AA191" s="31">
        <v>600</v>
      </c>
      <c r="AB191" s="31">
        <v>199689</v>
      </c>
    </row>
    <row r="192" spans="24:28">
      <c r="X192" s="30">
        <v>191</v>
      </c>
      <c r="Y192" s="31">
        <v>205235</v>
      </c>
      <c r="Z192" s="31">
        <v>15084</v>
      </c>
      <c r="AA192" s="31">
        <v>600</v>
      </c>
      <c r="AB192" s="31">
        <v>220919</v>
      </c>
    </row>
    <row r="193" spans="24:28">
      <c r="X193" s="30">
        <v>192</v>
      </c>
      <c r="Y193" s="31">
        <v>178245</v>
      </c>
      <c r="Z193" s="31">
        <v>11676</v>
      </c>
      <c r="AA193" s="31">
        <v>600</v>
      </c>
      <c r="AB193" s="31">
        <v>190521</v>
      </c>
    </row>
    <row r="194" spans="24:28">
      <c r="X194" s="30">
        <v>193</v>
      </c>
      <c r="Y194" s="31">
        <v>186735</v>
      </c>
      <c r="Z194" s="31">
        <v>3000</v>
      </c>
      <c r="AA194" s="31">
        <v>600</v>
      </c>
      <c r="AB194" s="31">
        <v>190335</v>
      </c>
    </row>
    <row r="195" spans="24:28">
      <c r="X195" s="30">
        <v>194</v>
      </c>
      <c r="Y195" s="31">
        <v>229510</v>
      </c>
      <c r="Z195" s="31">
        <v>12912</v>
      </c>
      <c r="AA195" s="31">
        <v>600</v>
      </c>
      <c r="AB195" s="31">
        <v>243022</v>
      </c>
    </row>
    <row r="196" spans="24:28">
      <c r="X196" s="30">
        <v>195</v>
      </c>
      <c r="Y196" s="31">
        <v>242360</v>
      </c>
      <c r="Z196" s="31">
        <v>936</v>
      </c>
      <c r="AA196" s="31">
        <v>600</v>
      </c>
      <c r="AB196" s="31">
        <v>243896</v>
      </c>
    </row>
    <row r="197" spans="24:28">
      <c r="X197" s="30">
        <v>196</v>
      </c>
      <c r="Y197" s="31">
        <v>222400</v>
      </c>
      <c r="Z197" s="31">
        <v>12492</v>
      </c>
      <c r="AA197" s="31">
        <v>600</v>
      </c>
      <c r="AB197" s="31">
        <v>235492</v>
      </c>
    </row>
    <row r="198" spans="24:28">
      <c r="X198" s="30">
        <v>197</v>
      </c>
      <c r="Y198" s="31">
        <v>222855</v>
      </c>
      <c r="Z198" s="31">
        <v>16704</v>
      </c>
      <c r="AA198" s="31">
        <v>600</v>
      </c>
      <c r="AB198" s="31">
        <v>240159</v>
      </c>
    </row>
    <row r="199" spans="24:28">
      <c r="X199" s="30">
        <v>198</v>
      </c>
      <c r="Y199" s="31">
        <v>165375</v>
      </c>
      <c r="Z199" s="31">
        <v>8952</v>
      </c>
      <c r="AA199" s="31">
        <v>600</v>
      </c>
      <c r="AB199" s="31">
        <v>174927</v>
      </c>
    </row>
    <row r="200" spans="24:28">
      <c r="X200" s="30">
        <v>199</v>
      </c>
      <c r="Y200" s="31">
        <v>212230</v>
      </c>
      <c r="Z200" s="31">
        <v>21636</v>
      </c>
      <c r="AA200" s="31">
        <v>450</v>
      </c>
      <c r="AB200" s="31">
        <v>234316</v>
      </c>
    </row>
    <row r="201" spans="24:28">
      <c r="X201" s="30">
        <v>200</v>
      </c>
      <c r="Y201" s="31">
        <v>179510</v>
      </c>
      <c r="Z201" s="31">
        <v>3288</v>
      </c>
      <c r="AA201" s="31">
        <v>600</v>
      </c>
      <c r="AB201" s="31">
        <v>183398</v>
      </c>
    </row>
    <row r="202" spans="24:28">
      <c r="X202" s="30">
        <v>201</v>
      </c>
      <c r="Y202" s="31">
        <v>224260</v>
      </c>
      <c r="Z202" s="31">
        <v>17112</v>
      </c>
      <c r="AA202" s="31">
        <v>450</v>
      </c>
      <c r="AB202" s="31">
        <v>241822</v>
      </c>
    </row>
    <row r="203" spans="24:28">
      <c r="X203" s="30">
        <v>202</v>
      </c>
      <c r="Y203" s="31">
        <v>174655</v>
      </c>
      <c r="Z203" s="31">
        <v>10188</v>
      </c>
      <c r="AA203" s="31">
        <v>600</v>
      </c>
      <c r="AB203" s="31">
        <v>185443</v>
      </c>
    </row>
    <row r="204" spans="24:28">
      <c r="X204" s="30">
        <v>203</v>
      </c>
      <c r="Y204" s="31">
        <v>154895</v>
      </c>
      <c r="Z204" s="31">
        <v>13836</v>
      </c>
      <c r="AA204" s="31">
        <v>600</v>
      </c>
      <c r="AB204" s="31">
        <v>169331</v>
      </c>
    </row>
    <row r="205" spans="24:28">
      <c r="X205" s="30">
        <v>204</v>
      </c>
      <c r="Y205" s="31">
        <v>164525</v>
      </c>
      <c r="Z205" s="31">
        <v>16968</v>
      </c>
      <c r="AA205" s="31">
        <v>600</v>
      </c>
      <c r="AB205" s="31">
        <v>182093</v>
      </c>
    </row>
    <row r="206" spans="24:28">
      <c r="X206" s="30">
        <v>205</v>
      </c>
      <c r="Y206" s="31">
        <v>209075</v>
      </c>
      <c r="Z206" s="31">
        <v>8856</v>
      </c>
      <c r="AA206" s="31">
        <v>600</v>
      </c>
      <c r="AB206" s="31">
        <v>218531</v>
      </c>
    </row>
    <row r="207" spans="24:28">
      <c r="X207" s="30">
        <v>206</v>
      </c>
      <c r="Y207" s="31">
        <v>213895</v>
      </c>
      <c r="Z207" s="31">
        <v>6264</v>
      </c>
      <c r="AA207" s="31">
        <v>600</v>
      </c>
      <c r="AB207" s="31">
        <v>220759</v>
      </c>
    </row>
    <row r="208" spans="24:28">
      <c r="X208" s="30">
        <v>207</v>
      </c>
      <c r="Y208" s="31">
        <v>184375</v>
      </c>
      <c r="Z208" s="31">
        <v>5880</v>
      </c>
      <c r="AA208" s="31">
        <v>600</v>
      </c>
      <c r="AB208" s="31">
        <v>190855</v>
      </c>
    </row>
    <row r="209" spans="24:28">
      <c r="X209" s="30">
        <v>208</v>
      </c>
      <c r="Y209" s="31">
        <v>204295</v>
      </c>
      <c r="Z209" s="31">
        <v>10512</v>
      </c>
      <c r="AA209" s="31">
        <v>600</v>
      </c>
      <c r="AB209" s="31">
        <v>215407</v>
      </c>
    </row>
    <row r="210" spans="24:28">
      <c r="X210" s="30">
        <v>209</v>
      </c>
      <c r="Y210" s="31">
        <v>195715</v>
      </c>
      <c r="Z210" s="31">
        <v>2532</v>
      </c>
      <c r="AA210" s="31">
        <v>600</v>
      </c>
      <c r="AB210" s="31">
        <v>198847</v>
      </c>
    </row>
    <row r="211" spans="24:28">
      <c r="X211" s="30">
        <v>210</v>
      </c>
      <c r="Y211" s="31">
        <v>183080</v>
      </c>
      <c r="Z211" s="31">
        <v>14976</v>
      </c>
      <c r="AA211" s="31">
        <v>600</v>
      </c>
      <c r="AB211" s="31">
        <v>198656</v>
      </c>
    </row>
    <row r="212" spans="24:28">
      <c r="X212" s="30">
        <v>211</v>
      </c>
      <c r="Y212" s="31">
        <v>211985</v>
      </c>
      <c r="Z212" s="31">
        <v>11976</v>
      </c>
      <c r="AA212" s="31">
        <v>600</v>
      </c>
      <c r="AB212" s="31">
        <v>224561</v>
      </c>
    </row>
    <row r="213" spans="24:28">
      <c r="X213" s="30">
        <v>212</v>
      </c>
      <c r="Y213" s="31">
        <v>203740</v>
      </c>
      <c r="Z213" s="31">
        <v>20412</v>
      </c>
      <c r="AA213" s="31">
        <v>600</v>
      </c>
      <c r="AB213" s="31">
        <v>224752</v>
      </c>
    </row>
    <row r="214" spans="24:28">
      <c r="X214" s="30">
        <v>213</v>
      </c>
      <c r="Y214" s="31">
        <v>190720</v>
      </c>
      <c r="Z214" s="31">
        <v>2868</v>
      </c>
      <c r="AA214" s="31">
        <v>600</v>
      </c>
      <c r="AB214" s="31">
        <v>194188</v>
      </c>
    </row>
    <row r="215" spans="24:28">
      <c r="X215" s="30">
        <v>214</v>
      </c>
      <c r="Y215" s="31">
        <v>252800</v>
      </c>
      <c r="Z215" s="31">
        <v>7668</v>
      </c>
      <c r="AA215" s="31">
        <v>600</v>
      </c>
      <c r="AB215" s="31">
        <v>261068</v>
      </c>
    </row>
    <row r="216" spans="24:28">
      <c r="X216" s="30">
        <v>215</v>
      </c>
      <c r="Y216" s="31">
        <v>221230</v>
      </c>
      <c r="Z216" s="31">
        <v>6384</v>
      </c>
      <c r="AA216" s="31">
        <v>600</v>
      </c>
      <c r="AB216" s="31">
        <v>228214</v>
      </c>
    </row>
    <row r="217" spans="24:28">
      <c r="X217" s="30">
        <v>216</v>
      </c>
      <c r="Y217" s="31">
        <v>170340</v>
      </c>
      <c r="Z217" s="31">
        <v>16392</v>
      </c>
      <c r="AA217" s="31">
        <v>600</v>
      </c>
      <c r="AB217" s="31">
        <v>187332</v>
      </c>
    </row>
    <row r="218" spans="24:28">
      <c r="X218" s="30">
        <v>217</v>
      </c>
      <c r="Y218" s="31">
        <v>249520</v>
      </c>
      <c r="Z218" s="31">
        <v>1632</v>
      </c>
      <c r="AA218" s="31">
        <v>600</v>
      </c>
      <c r="AB218" s="31">
        <v>251752</v>
      </c>
    </row>
    <row r="219" spans="24:28">
      <c r="X219" s="30">
        <v>218</v>
      </c>
      <c r="Y219" s="31">
        <v>201675</v>
      </c>
      <c r="Z219" s="31">
        <v>8796</v>
      </c>
      <c r="AA219" s="31">
        <v>600</v>
      </c>
      <c r="AB219" s="31">
        <v>211071</v>
      </c>
    </row>
    <row r="220" spans="24:28">
      <c r="X220" s="30">
        <v>219</v>
      </c>
      <c r="Y220" s="31">
        <v>152495</v>
      </c>
      <c r="Z220" s="31">
        <v>5916</v>
      </c>
      <c r="AA220" s="31">
        <v>600</v>
      </c>
      <c r="AB220" s="31">
        <v>159011</v>
      </c>
    </row>
    <row r="221" spans="24:28">
      <c r="X221" s="30">
        <v>220</v>
      </c>
      <c r="Y221" s="31">
        <v>255685</v>
      </c>
      <c r="Z221" s="31">
        <v>10356</v>
      </c>
      <c r="AA221" s="31">
        <v>600</v>
      </c>
      <c r="AB221" s="31">
        <v>266641</v>
      </c>
    </row>
    <row r="222" spans="24:28">
      <c r="X222" s="30">
        <v>221</v>
      </c>
      <c r="Y222" s="31">
        <v>175680</v>
      </c>
      <c r="Z222" s="31">
        <v>8796</v>
      </c>
      <c r="AA222" s="31">
        <v>600</v>
      </c>
      <c r="AB222" s="31">
        <v>185076</v>
      </c>
    </row>
    <row r="223" spans="24:28">
      <c r="X223" s="30">
        <v>222</v>
      </c>
      <c r="Y223" s="31">
        <v>192075</v>
      </c>
      <c r="Z223" s="31">
        <v>16668</v>
      </c>
      <c r="AA223" s="31">
        <v>600</v>
      </c>
      <c r="AB223" s="31">
        <v>209343</v>
      </c>
    </row>
    <row r="224" spans="24:28">
      <c r="X224" s="30">
        <v>223</v>
      </c>
      <c r="Y224" s="31">
        <v>176855</v>
      </c>
      <c r="Z224" s="31">
        <v>6060</v>
      </c>
      <c r="AA224" s="31">
        <v>600</v>
      </c>
      <c r="AB224" s="31">
        <v>183515</v>
      </c>
    </row>
    <row r="225" spans="24:28">
      <c r="X225" s="30">
        <v>224</v>
      </c>
      <c r="Y225" s="31">
        <v>176610</v>
      </c>
      <c r="Z225" s="31">
        <v>9216</v>
      </c>
      <c r="AA225" s="31">
        <v>600</v>
      </c>
      <c r="AB225" s="31">
        <v>186426</v>
      </c>
    </row>
    <row r="226" spans="24:28">
      <c r="X226" s="30">
        <v>225</v>
      </c>
      <c r="Y226" s="31">
        <v>194245</v>
      </c>
      <c r="Z226" s="31">
        <v>9180</v>
      </c>
      <c r="AA226" s="31">
        <v>600</v>
      </c>
      <c r="AB226" s="31">
        <v>204025</v>
      </c>
    </row>
    <row r="227" spans="24:28">
      <c r="X227" s="30">
        <v>226</v>
      </c>
      <c r="Y227" s="31">
        <v>190170</v>
      </c>
      <c r="Z227" s="31">
        <v>16344</v>
      </c>
      <c r="AA227" s="31">
        <v>600</v>
      </c>
      <c r="AB227" s="31">
        <v>207114</v>
      </c>
    </row>
    <row r="228" spans="24:28">
      <c r="X228" s="30">
        <v>227</v>
      </c>
      <c r="Y228" s="31">
        <v>212135</v>
      </c>
      <c r="Z228" s="31">
        <v>0</v>
      </c>
      <c r="AA228" s="31">
        <v>600</v>
      </c>
      <c r="AB228" s="31">
        <v>212735</v>
      </c>
    </row>
    <row r="229" spans="24:28">
      <c r="X229" s="30">
        <v>228</v>
      </c>
      <c r="Y229" s="31">
        <v>163965</v>
      </c>
      <c r="Z229" s="31">
        <v>13272</v>
      </c>
      <c r="AA229" s="31">
        <v>600</v>
      </c>
      <c r="AB229" s="31">
        <v>177837</v>
      </c>
    </row>
    <row r="230" spans="24:28">
      <c r="X230" s="30">
        <v>229</v>
      </c>
      <c r="Y230" s="31">
        <v>170850</v>
      </c>
      <c r="Z230" s="31">
        <v>10248</v>
      </c>
      <c r="AA230" s="31">
        <v>600</v>
      </c>
      <c r="AB230" s="31">
        <v>181698</v>
      </c>
    </row>
    <row r="231" spans="24:28">
      <c r="X231" s="30">
        <v>230</v>
      </c>
      <c r="Y231" s="31">
        <v>190615</v>
      </c>
      <c r="Z231" s="31">
        <v>16476</v>
      </c>
      <c r="AA231" s="31">
        <v>600</v>
      </c>
      <c r="AB231" s="31">
        <v>207691</v>
      </c>
    </row>
    <row r="232" spans="24:28">
      <c r="X232" s="30">
        <v>231</v>
      </c>
      <c r="Y232" s="31">
        <v>119300</v>
      </c>
      <c r="Z232" s="31">
        <v>15336</v>
      </c>
      <c r="AA232" s="31">
        <v>600</v>
      </c>
      <c r="AB232" s="31">
        <v>135236</v>
      </c>
    </row>
    <row r="233" spans="24:28">
      <c r="X233" s="30">
        <v>232</v>
      </c>
      <c r="Y233" s="31">
        <v>166135</v>
      </c>
      <c r="Z233" s="31">
        <v>540</v>
      </c>
      <c r="AA233" s="31">
        <v>600</v>
      </c>
      <c r="AB233" s="31">
        <v>167275</v>
      </c>
    </row>
    <row r="234" spans="24:28">
      <c r="X234" s="30">
        <v>233</v>
      </c>
      <c r="Y234" s="31">
        <v>185585</v>
      </c>
      <c r="Z234" s="31">
        <v>564</v>
      </c>
      <c r="AA234" s="31">
        <v>600</v>
      </c>
      <c r="AB234" s="31">
        <v>186749</v>
      </c>
    </row>
    <row r="235" spans="24:28">
      <c r="X235" s="30">
        <v>234</v>
      </c>
      <c r="Y235" s="31">
        <v>195145</v>
      </c>
      <c r="Z235" s="31">
        <v>1020</v>
      </c>
      <c r="AA235" s="31">
        <v>600</v>
      </c>
      <c r="AB235" s="31">
        <v>196765</v>
      </c>
    </row>
    <row r="236" spans="24:28">
      <c r="X236" s="30">
        <v>235</v>
      </c>
      <c r="Y236" s="31">
        <v>176355</v>
      </c>
      <c r="Z236" s="31">
        <v>10872</v>
      </c>
      <c r="AA236" s="31">
        <v>600</v>
      </c>
      <c r="AB236" s="31">
        <v>187827</v>
      </c>
    </row>
    <row r="237" spans="24:28">
      <c r="X237" s="30">
        <v>236</v>
      </c>
      <c r="Y237" s="31">
        <v>218365</v>
      </c>
      <c r="Z237" s="31">
        <v>5304</v>
      </c>
      <c r="AA237" s="31">
        <v>600</v>
      </c>
      <c r="AB237" s="31">
        <v>224269</v>
      </c>
    </row>
    <row r="238" spans="24:28">
      <c r="X238" s="30">
        <v>237</v>
      </c>
      <c r="Y238" s="31">
        <v>226950</v>
      </c>
      <c r="Z238" s="31">
        <v>2952</v>
      </c>
      <c r="AA238" s="31">
        <v>600</v>
      </c>
      <c r="AB238" s="31">
        <v>230502</v>
      </c>
    </row>
    <row r="239" spans="24:28">
      <c r="X239" s="30">
        <v>238</v>
      </c>
      <c r="Y239" s="31">
        <v>190945</v>
      </c>
      <c r="Z239" s="31">
        <v>1212</v>
      </c>
      <c r="AA239" s="31">
        <v>600</v>
      </c>
      <c r="AB239" s="31">
        <v>192757</v>
      </c>
    </row>
    <row r="240" spans="24:28">
      <c r="X240" s="30">
        <v>239</v>
      </c>
      <c r="Y240" s="31">
        <v>180365</v>
      </c>
      <c r="Z240" s="31">
        <v>7812</v>
      </c>
      <c r="AA240" s="31">
        <v>600</v>
      </c>
      <c r="AB240" s="31">
        <v>188777</v>
      </c>
    </row>
    <row r="241" spans="24:28">
      <c r="X241" s="30">
        <v>240</v>
      </c>
      <c r="Y241" s="31">
        <v>196305</v>
      </c>
      <c r="Z241" s="31">
        <v>2592</v>
      </c>
      <c r="AA241" s="31">
        <v>600</v>
      </c>
      <c r="AB241" s="31">
        <v>199497</v>
      </c>
    </row>
    <row r="242" spans="24:28">
      <c r="X242" s="30">
        <v>241</v>
      </c>
      <c r="Y242" s="31">
        <v>223040</v>
      </c>
      <c r="Z242" s="31">
        <v>11316</v>
      </c>
      <c r="AA242" s="31">
        <v>600</v>
      </c>
      <c r="AB242" s="31">
        <v>234956</v>
      </c>
    </row>
    <row r="243" spans="24:28">
      <c r="X243" s="30">
        <v>242</v>
      </c>
      <c r="Y243" s="31">
        <v>215120</v>
      </c>
      <c r="Z243" s="31">
        <v>12804</v>
      </c>
      <c r="AA243" s="31">
        <v>600</v>
      </c>
      <c r="AB243" s="31">
        <v>228524</v>
      </c>
    </row>
    <row r="244" spans="24:28">
      <c r="X244" s="30">
        <v>243</v>
      </c>
      <c r="Y244" s="31">
        <v>180875</v>
      </c>
      <c r="Z244" s="31">
        <v>6840</v>
      </c>
      <c r="AA244" s="31">
        <v>600</v>
      </c>
      <c r="AB244" s="31">
        <v>188315</v>
      </c>
    </row>
    <row r="245" spans="24:28">
      <c r="X245" s="30">
        <v>244</v>
      </c>
      <c r="Y245" s="31">
        <v>238980</v>
      </c>
      <c r="Z245" s="31">
        <v>11544</v>
      </c>
      <c r="AA245" s="31">
        <v>600</v>
      </c>
      <c r="AB245" s="31">
        <v>251124</v>
      </c>
    </row>
    <row r="246" spans="24:28">
      <c r="X246" s="30">
        <v>245</v>
      </c>
      <c r="Y246" s="31">
        <v>160650</v>
      </c>
      <c r="Z246" s="31">
        <v>9048</v>
      </c>
      <c r="AA246" s="31">
        <v>600</v>
      </c>
      <c r="AB246" s="31">
        <v>170298</v>
      </c>
    </row>
    <row r="247" spans="24:28">
      <c r="X247" s="30">
        <v>246</v>
      </c>
      <c r="Y247" s="31">
        <v>211120</v>
      </c>
      <c r="Z247" s="31">
        <v>6024</v>
      </c>
      <c r="AA247" s="31">
        <v>600</v>
      </c>
      <c r="AB247" s="31">
        <v>217744</v>
      </c>
    </row>
    <row r="248" spans="24:28">
      <c r="X248" s="30">
        <v>247</v>
      </c>
      <c r="Y248" s="31">
        <v>205185</v>
      </c>
      <c r="Z248" s="31">
        <v>11388</v>
      </c>
      <c r="AA248" s="31">
        <v>600</v>
      </c>
      <c r="AB248" s="31">
        <v>217173</v>
      </c>
    </row>
    <row r="249" spans="24:28">
      <c r="X249" s="30">
        <v>248</v>
      </c>
      <c r="Y249" s="31">
        <v>192575</v>
      </c>
      <c r="Z249" s="31">
        <v>336</v>
      </c>
      <c r="AA249" s="31">
        <v>600</v>
      </c>
      <c r="AB249" s="31">
        <v>193511</v>
      </c>
    </row>
    <row r="250" spans="24:28">
      <c r="X250" s="30">
        <v>249</v>
      </c>
      <c r="Y250" s="31">
        <v>185440</v>
      </c>
      <c r="Z250" s="31">
        <v>9780</v>
      </c>
      <c r="AA250" s="31">
        <v>600</v>
      </c>
      <c r="AB250" s="31">
        <v>195820</v>
      </c>
    </row>
    <row r="251" spans="24:28">
      <c r="X251" s="30">
        <v>250</v>
      </c>
      <c r="Y251" s="31">
        <v>179640</v>
      </c>
      <c r="Z251" s="31">
        <v>5244</v>
      </c>
      <c r="AA251" s="31">
        <v>600</v>
      </c>
      <c r="AB251" s="31">
        <v>185484</v>
      </c>
    </row>
    <row r="252" spans="24:28">
      <c r="X252" s="30">
        <v>251</v>
      </c>
      <c r="Y252" s="31">
        <v>156070</v>
      </c>
      <c r="Z252" s="31">
        <v>14196</v>
      </c>
      <c r="AA252" s="31">
        <v>600</v>
      </c>
      <c r="AB252" s="31">
        <v>170866</v>
      </c>
    </row>
    <row r="253" spans="24:28">
      <c r="X253" s="30">
        <v>252</v>
      </c>
      <c r="Y253" s="31">
        <v>189710</v>
      </c>
      <c r="Z253" s="31">
        <v>2856</v>
      </c>
      <c r="AA253" s="31">
        <v>600</v>
      </c>
      <c r="AB253" s="31">
        <v>193166</v>
      </c>
    </row>
    <row r="254" spans="24:28">
      <c r="X254" s="30">
        <v>253</v>
      </c>
      <c r="Y254" s="31">
        <v>241600</v>
      </c>
      <c r="Z254" s="31">
        <v>7668</v>
      </c>
      <c r="AA254" s="31">
        <v>600</v>
      </c>
      <c r="AB254" s="31">
        <v>249868</v>
      </c>
    </row>
    <row r="255" spans="24:28">
      <c r="X255" s="30">
        <v>254</v>
      </c>
      <c r="Y255" s="31">
        <v>197915</v>
      </c>
      <c r="Z255" s="31">
        <v>7500</v>
      </c>
      <c r="AA255" s="31">
        <v>600</v>
      </c>
      <c r="AB255" s="31">
        <v>206015</v>
      </c>
    </row>
    <row r="256" spans="24:28">
      <c r="X256" s="30">
        <v>255</v>
      </c>
      <c r="Y256" s="31">
        <v>202200</v>
      </c>
      <c r="Z256" s="31">
        <v>14532</v>
      </c>
      <c r="AA256" s="31">
        <v>600</v>
      </c>
      <c r="AB256" s="31">
        <v>217332</v>
      </c>
    </row>
    <row r="257" spans="24:28">
      <c r="X257" s="30">
        <v>256</v>
      </c>
      <c r="Y257" s="31">
        <v>187820</v>
      </c>
      <c r="Z257" s="31">
        <v>12360</v>
      </c>
      <c r="AA257" s="31">
        <v>600</v>
      </c>
      <c r="AB257" s="31">
        <v>200780</v>
      </c>
    </row>
    <row r="258" spans="24:28">
      <c r="X258" s="30">
        <v>257</v>
      </c>
      <c r="Y258" s="31">
        <v>186655</v>
      </c>
      <c r="Z258" s="31">
        <v>9000</v>
      </c>
      <c r="AA258" s="31">
        <v>600</v>
      </c>
      <c r="AB258" s="31">
        <v>196255</v>
      </c>
    </row>
    <row r="259" spans="24:28">
      <c r="X259" s="30">
        <v>258</v>
      </c>
      <c r="Y259" s="31">
        <v>116175</v>
      </c>
      <c r="Z259" s="31">
        <v>15588</v>
      </c>
      <c r="AA259" s="31">
        <v>600</v>
      </c>
      <c r="AB259" s="31">
        <v>132363</v>
      </c>
    </row>
    <row r="260" spans="24:28">
      <c r="X260" s="30">
        <v>259</v>
      </c>
      <c r="Y260" s="31">
        <v>188610</v>
      </c>
      <c r="Z260" s="31">
        <v>9960</v>
      </c>
      <c r="AA260" s="31">
        <v>600</v>
      </c>
      <c r="AB260" s="31">
        <v>199170</v>
      </c>
    </row>
    <row r="261" spans="24:28">
      <c r="X261" s="30">
        <v>260</v>
      </c>
      <c r="Y261" s="31">
        <v>150815</v>
      </c>
      <c r="Z261" s="31">
        <v>8832</v>
      </c>
      <c r="AA261" s="31">
        <v>600</v>
      </c>
      <c r="AB261" s="31">
        <v>160247</v>
      </c>
    </row>
    <row r="262" spans="24:28">
      <c r="X262" s="30">
        <v>261</v>
      </c>
      <c r="Y262" s="31">
        <v>264380</v>
      </c>
      <c r="Z262" s="31">
        <v>15348</v>
      </c>
      <c r="AA262" s="31">
        <v>600</v>
      </c>
      <c r="AB262" s="31">
        <v>280328</v>
      </c>
    </row>
    <row r="263" spans="24:28">
      <c r="X263" s="30">
        <v>262</v>
      </c>
      <c r="Y263" s="31">
        <v>178815</v>
      </c>
      <c r="Z263" s="31">
        <v>15360</v>
      </c>
      <c r="AA263" s="31">
        <v>600</v>
      </c>
      <c r="AB263" s="31">
        <v>194775</v>
      </c>
    </row>
    <row r="264" spans="24:28">
      <c r="X264" s="30">
        <v>263</v>
      </c>
      <c r="Y264" s="31">
        <v>214885</v>
      </c>
      <c r="Z264" s="31">
        <v>10836</v>
      </c>
      <c r="AA264" s="31">
        <v>600</v>
      </c>
      <c r="AB264" s="31">
        <v>226321</v>
      </c>
    </row>
    <row r="265" spans="24:28">
      <c r="X265" s="30">
        <v>264</v>
      </c>
      <c r="Y265" s="31">
        <v>194955</v>
      </c>
      <c r="Z265" s="31">
        <v>6420</v>
      </c>
      <c r="AA265" s="31">
        <v>600</v>
      </c>
      <c r="AB265" s="31">
        <v>201975</v>
      </c>
    </row>
    <row r="266" spans="24:28">
      <c r="X266" s="30">
        <v>265</v>
      </c>
      <c r="Y266" s="31">
        <v>263955</v>
      </c>
      <c r="Z266" s="31">
        <v>0</v>
      </c>
      <c r="AA266" s="31">
        <v>600</v>
      </c>
      <c r="AB266" s="31">
        <v>264555</v>
      </c>
    </row>
    <row r="267" spans="24:28">
      <c r="X267" s="30">
        <v>266</v>
      </c>
      <c r="Y267" s="31">
        <v>202935</v>
      </c>
      <c r="Z267" s="31">
        <v>16188</v>
      </c>
      <c r="AA267" s="31">
        <v>600</v>
      </c>
      <c r="AB267" s="31">
        <v>219723</v>
      </c>
    </row>
    <row r="268" spans="24:28">
      <c r="X268" s="30">
        <v>267</v>
      </c>
      <c r="Y268" s="31">
        <v>161725</v>
      </c>
      <c r="Z268" s="31">
        <v>2832</v>
      </c>
      <c r="AA268" s="31">
        <v>600</v>
      </c>
      <c r="AB268" s="31">
        <v>165157</v>
      </c>
    </row>
    <row r="269" spans="24:28">
      <c r="X269" s="30">
        <v>268</v>
      </c>
      <c r="Y269" s="31">
        <v>221740</v>
      </c>
      <c r="Z269" s="31">
        <v>8796</v>
      </c>
      <c r="AA269" s="31">
        <v>600</v>
      </c>
      <c r="AB269" s="31">
        <v>231136</v>
      </c>
    </row>
    <row r="270" spans="24:28">
      <c r="X270" s="30">
        <v>269</v>
      </c>
      <c r="Y270" s="31">
        <v>241865</v>
      </c>
      <c r="Z270" s="31">
        <v>9516</v>
      </c>
      <c r="AA270" s="31">
        <v>600</v>
      </c>
      <c r="AB270" s="31">
        <v>251981</v>
      </c>
    </row>
    <row r="271" spans="24:28">
      <c r="X271" s="30">
        <v>270</v>
      </c>
      <c r="Y271" s="31">
        <v>191525</v>
      </c>
      <c r="Z271" s="31">
        <v>15552</v>
      </c>
      <c r="AA271" s="31">
        <v>600</v>
      </c>
      <c r="AB271" s="31">
        <v>207677</v>
      </c>
    </row>
    <row r="272" spans="24:28">
      <c r="X272" s="30">
        <v>271</v>
      </c>
      <c r="Y272" s="31">
        <v>180000</v>
      </c>
      <c r="Z272" s="31">
        <v>10512</v>
      </c>
      <c r="AA272" s="31">
        <v>600</v>
      </c>
      <c r="AB272" s="31">
        <v>191112</v>
      </c>
    </row>
    <row r="273" spans="24:28">
      <c r="X273" s="30">
        <v>272</v>
      </c>
      <c r="Y273" s="31">
        <v>217920</v>
      </c>
      <c r="Z273" s="31">
        <v>13332</v>
      </c>
      <c r="AA273" s="31">
        <v>600</v>
      </c>
      <c r="AB273" s="31">
        <v>231852</v>
      </c>
    </row>
    <row r="274" spans="24:28">
      <c r="X274" s="30">
        <v>273</v>
      </c>
      <c r="Y274" s="31">
        <v>174695</v>
      </c>
      <c r="Z274" s="31">
        <v>15156</v>
      </c>
      <c r="AA274" s="31">
        <v>600</v>
      </c>
      <c r="AB274" s="31">
        <v>190451</v>
      </c>
    </row>
    <row r="275" spans="24:28">
      <c r="X275" s="30">
        <v>274</v>
      </c>
      <c r="Y275" s="31">
        <v>232960</v>
      </c>
      <c r="Z275" s="31">
        <v>11220</v>
      </c>
      <c r="AA275" s="31">
        <v>600</v>
      </c>
      <c r="AB275" s="31">
        <v>244780</v>
      </c>
    </row>
    <row r="276" spans="24:28">
      <c r="X276" s="30">
        <v>275</v>
      </c>
      <c r="Y276" s="31">
        <v>149875</v>
      </c>
      <c r="Z276" s="31">
        <v>16320</v>
      </c>
      <c r="AA276" s="31">
        <v>600</v>
      </c>
      <c r="AB276" s="31">
        <v>166795</v>
      </c>
    </row>
    <row r="277" spans="24:28">
      <c r="X277" s="30">
        <v>276</v>
      </c>
      <c r="Y277" s="31">
        <v>230890</v>
      </c>
      <c r="Z277" s="31">
        <v>13128</v>
      </c>
      <c r="AA277" s="31">
        <v>600</v>
      </c>
      <c r="AB277" s="31">
        <v>244618</v>
      </c>
    </row>
    <row r="278" spans="24:28">
      <c r="X278" s="30">
        <v>277</v>
      </c>
      <c r="Y278" s="31">
        <v>176785</v>
      </c>
      <c r="Z278" s="31">
        <v>18300</v>
      </c>
      <c r="AA278" s="31">
        <v>600</v>
      </c>
      <c r="AB278" s="31">
        <v>195685</v>
      </c>
    </row>
    <row r="279" spans="24:28">
      <c r="X279" s="30">
        <v>278</v>
      </c>
      <c r="Y279" s="31">
        <v>223745</v>
      </c>
      <c r="Z279" s="31">
        <v>2808</v>
      </c>
      <c r="AA279" s="31">
        <v>600</v>
      </c>
      <c r="AB279" s="31">
        <v>227153</v>
      </c>
    </row>
    <row r="280" spans="24:28">
      <c r="X280" s="30">
        <v>279</v>
      </c>
      <c r="Y280" s="31">
        <v>181680</v>
      </c>
      <c r="Z280" s="31">
        <v>10812</v>
      </c>
      <c r="AA280" s="31">
        <v>600</v>
      </c>
      <c r="AB280" s="31">
        <v>193092</v>
      </c>
    </row>
    <row r="281" spans="24:28">
      <c r="X281" s="30">
        <v>280</v>
      </c>
      <c r="Y281" s="31">
        <v>141445</v>
      </c>
      <c r="Z281" s="31">
        <v>11172</v>
      </c>
      <c r="AA281" s="31">
        <v>600</v>
      </c>
      <c r="AB281" s="31">
        <v>153217</v>
      </c>
    </row>
    <row r="282" spans="24:28">
      <c r="X282" s="30">
        <v>281</v>
      </c>
      <c r="Y282" s="31">
        <v>225720</v>
      </c>
      <c r="Z282" s="31">
        <v>7236</v>
      </c>
      <c r="AA282" s="31">
        <v>600</v>
      </c>
      <c r="AB282" s="31">
        <v>233556</v>
      </c>
    </row>
    <row r="283" spans="24:28">
      <c r="X283" s="30">
        <v>282</v>
      </c>
      <c r="Y283" s="31">
        <v>205710</v>
      </c>
      <c r="Z283" s="31">
        <v>7680</v>
      </c>
      <c r="AA283" s="31">
        <v>600</v>
      </c>
      <c r="AB283" s="31">
        <v>213990</v>
      </c>
    </row>
    <row r="284" spans="24:28">
      <c r="X284" s="30">
        <v>283</v>
      </c>
      <c r="Y284" s="31">
        <v>240530</v>
      </c>
      <c r="Z284" s="31">
        <v>10548</v>
      </c>
      <c r="AA284" s="31">
        <v>600</v>
      </c>
      <c r="AB284" s="31">
        <v>251678</v>
      </c>
    </row>
    <row r="285" spans="24:28">
      <c r="X285" s="30">
        <v>284</v>
      </c>
      <c r="Y285" s="31">
        <v>161400</v>
      </c>
      <c r="Z285" s="31">
        <v>12432</v>
      </c>
      <c r="AA285" s="31">
        <v>600</v>
      </c>
      <c r="AB285" s="31">
        <v>174432</v>
      </c>
    </row>
    <row r="286" spans="24:28">
      <c r="X286" s="30">
        <v>285</v>
      </c>
      <c r="Y286" s="31">
        <v>211000</v>
      </c>
      <c r="Z286" s="31">
        <v>10284</v>
      </c>
      <c r="AA286" s="31">
        <v>600</v>
      </c>
      <c r="AB286" s="31">
        <v>221884</v>
      </c>
    </row>
    <row r="287" spans="24:28">
      <c r="X287" s="30">
        <v>286</v>
      </c>
      <c r="Y287" s="31">
        <v>217245</v>
      </c>
      <c r="Z287" s="31">
        <v>4800</v>
      </c>
      <c r="AA287" s="31">
        <v>600</v>
      </c>
      <c r="AB287" s="31">
        <v>222645</v>
      </c>
    </row>
    <row r="288" spans="24:28">
      <c r="X288" s="30">
        <v>287</v>
      </c>
      <c r="Y288" s="31">
        <v>195810</v>
      </c>
      <c r="Z288" s="31">
        <v>7080</v>
      </c>
      <c r="AA288" s="31">
        <v>600</v>
      </c>
      <c r="AB288" s="31">
        <v>203490</v>
      </c>
    </row>
    <row r="289" spans="24:28">
      <c r="X289" s="30">
        <v>288</v>
      </c>
      <c r="Y289" s="31">
        <v>220455</v>
      </c>
      <c r="Z289" s="31">
        <v>5748</v>
      </c>
      <c r="AA289" s="31">
        <v>600</v>
      </c>
      <c r="AB289" s="31">
        <v>226803</v>
      </c>
    </row>
    <row r="290" spans="24:28">
      <c r="X290" s="30">
        <v>289</v>
      </c>
      <c r="Y290" s="31">
        <v>167045</v>
      </c>
      <c r="Z290" s="31">
        <v>15756</v>
      </c>
      <c r="AA290" s="31">
        <v>600</v>
      </c>
      <c r="AB290" s="31">
        <v>183401</v>
      </c>
    </row>
    <row r="291" spans="24:28">
      <c r="X291" s="30">
        <v>290</v>
      </c>
      <c r="Y291" s="31">
        <v>191515</v>
      </c>
      <c r="Z291" s="31">
        <v>12288</v>
      </c>
      <c r="AA291" s="31">
        <v>600</v>
      </c>
      <c r="AB291" s="31">
        <v>204403</v>
      </c>
    </row>
    <row r="292" spans="24:28">
      <c r="X292" s="30">
        <v>291</v>
      </c>
      <c r="Y292" s="31">
        <v>146635</v>
      </c>
      <c r="Z292" s="31">
        <v>15912</v>
      </c>
      <c r="AA292" s="31">
        <v>600</v>
      </c>
      <c r="AB292" s="31">
        <v>163147</v>
      </c>
    </row>
    <row r="293" spans="24:28">
      <c r="X293" s="30">
        <v>292</v>
      </c>
      <c r="Y293" s="31">
        <v>156190</v>
      </c>
      <c r="Z293" s="31">
        <v>2400</v>
      </c>
      <c r="AA293" s="31">
        <v>600</v>
      </c>
      <c r="AB293" s="31">
        <v>159190</v>
      </c>
    </row>
    <row r="294" spans="24:28">
      <c r="X294" s="30">
        <v>293</v>
      </c>
      <c r="Y294" s="31">
        <v>229430</v>
      </c>
      <c r="Z294" s="31">
        <v>10668</v>
      </c>
      <c r="AA294" s="31">
        <v>600</v>
      </c>
      <c r="AB294" s="31">
        <v>240698</v>
      </c>
    </row>
    <row r="295" spans="24:28">
      <c r="X295" s="30">
        <v>294</v>
      </c>
      <c r="Y295" s="31">
        <v>229700</v>
      </c>
      <c r="Z295" s="31">
        <v>10860</v>
      </c>
      <c r="AA295" s="31">
        <v>600</v>
      </c>
      <c r="AB295" s="31">
        <v>241160</v>
      </c>
    </row>
    <row r="296" spans="24:28">
      <c r="X296" s="30">
        <v>295</v>
      </c>
      <c r="Y296" s="31">
        <v>164950</v>
      </c>
      <c r="Z296" s="31">
        <v>4200</v>
      </c>
      <c r="AA296" s="31">
        <v>600</v>
      </c>
      <c r="AB296" s="31">
        <v>169750</v>
      </c>
    </row>
    <row r="297" spans="24:28">
      <c r="X297" s="30">
        <v>296</v>
      </c>
      <c r="Y297" s="31">
        <v>185995</v>
      </c>
      <c r="Z297" s="31">
        <v>15576</v>
      </c>
      <c r="AA297" s="31">
        <v>600</v>
      </c>
      <c r="AB297" s="31">
        <v>202171</v>
      </c>
    </row>
    <row r="298" spans="24:28">
      <c r="X298" s="30">
        <v>297</v>
      </c>
      <c r="Y298" s="31">
        <v>215380</v>
      </c>
      <c r="Z298" s="31">
        <v>10092</v>
      </c>
      <c r="AA298" s="31">
        <v>600</v>
      </c>
      <c r="AB298" s="31">
        <v>226072</v>
      </c>
    </row>
    <row r="299" spans="24:28">
      <c r="X299" s="30">
        <v>298</v>
      </c>
      <c r="Y299" s="31">
        <v>203720</v>
      </c>
      <c r="Z299" s="31">
        <v>9864</v>
      </c>
      <c r="AA299" s="31">
        <v>600</v>
      </c>
      <c r="AB299" s="31">
        <v>214184</v>
      </c>
    </row>
    <row r="300" spans="24:28">
      <c r="X300" s="30">
        <v>299</v>
      </c>
      <c r="Y300" s="31">
        <v>195200</v>
      </c>
      <c r="Z300" s="31">
        <v>3432</v>
      </c>
      <c r="AA300" s="31">
        <v>600</v>
      </c>
      <c r="AB300" s="31">
        <v>199232</v>
      </c>
    </row>
    <row r="301" spans="24:28">
      <c r="X301" s="30">
        <v>300</v>
      </c>
      <c r="Y301" s="31">
        <v>166620</v>
      </c>
      <c r="Z301" s="31">
        <v>5868</v>
      </c>
      <c r="AA301" s="31">
        <v>600</v>
      </c>
      <c r="AB301" s="31">
        <v>173088</v>
      </c>
    </row>
    <row r="302" spans="24:28">
      <c r="X302" s="30">
        <v>301</v>
      </c>
      <c r="Y302" s="31">
        <v>156875</v>
      </c>
      <c r="Z302" s="31">
        <v>13728</v>
      </c>
      <c r="AA302" s="31">
        <v>600</v>
      </c>
      <c r="AB302" s="31">
        <v>171203</v>
      </c>
    </row>
    <row r="303" spans="24:28">
      <c r="X303" s="30">
        <v>302</v>
      </c>
      <c r="Y303" s="31">
        <v>192365</v>
      </c>
      <c r="Z303" s="31">
        <v>9276</v>
      </c>
      <c r="AA303" s="31">
        <v>600</v>
      </c>
      <c r="AB303" s="31">
        <v>202241</v>
      </c>
    </row>
    <row r="304" spans="24:28">
      <c r="X304" s="30">
        <v>303</v>
      </c>
      <c r="Y304" s="31">
        <v>159505</v>
      </c>
      <c r="Z304" s="31">
        <v>18108</v>
      </c>
      <c r="AA304" s="31">
        <v>600</v>
      </c>
      <c r="AB304" s="31">
        <v>178213</v>
      </c>
    </row>
    <row r="305" spans="24:28">
      <c r="X305" s="30">
        <v>304</v>
      </c>
      <c r="Y305" s="31">
        <v>188365</v>
      </c>
      <c r="Z305" s="31">
        <v>8988</v>
      </c>
      <c r="AA305" s="31">
        <v>600</v>
      </c>
      <c r="AB305" s="31">
        <v>197953</v>
      </c>
    </row>
    <row r="306" spans="24:28">
      <c r="X306" s="30">
        <v>305</v>
      </c>
      <c r="Y306" s="31">
        <v>245475</v>
      </c>
      <c r="Z306" s="31">
        <v>5772</v>
      </c>
      <c r="AA306" s="31">
        <v>600</v>
      </c>
      <c r="AB306" s="31">
        <v>251847</v>
      </c>
    </row>
    <row r="307" spans="24:28">
      <c r="X307" s="30">
        <v>306</v>
      </c>
      <c r="Y307" s="31">
        <v>180770</v>
      </c>
      <c r="Z307" s="31">
        <v>6576</v>
      </c>
      <c r="AA307" s="31">
        <v>600</v>
      </c>
      <c r="AB307" s="31">
        <v>187946</v>
      </c>
    </row>
    <row r="308" spans="24:28">
      <c r="X308" s="30">
        <v>307</v>
      </c>
      <c r="Y308" s="31">
        <v>228130</v>
      </c>
      <c r="Z308" s="31">
        <v>8184</v>
      </c>
      <c r="AA308" s="31">
        <v>600</v>
      </c>
      <c r="AB308" s="31">
        <v>236914</v>
      </c>
    </row>
    <row r="309" spans="24:28">
      <c r="X309" s="30">
        <v>308</v>
      </c>
      <c r="Y309" s="31">
        <v>208800</v>
      </c>
      <c r="Z309" s="31">
        <v>6936</v>
      </c>
      <c r="AA309" s="31">
        <v>600</v>
      </c>
      <c r="AB309" s="31">
        <v>216336</v>
      </c>
    </row>
    <row r="310" spans="24:28">
      <c r="X310" s="30">
        <v>309</v>
      </c>
      <c r="Y310" s="31">
        <v>195835</v>
      </c>
      <c r="Z310" s="31">
        <v>8220</v>
      </c>
      <c r="AA310" s="31">
        <v>600</v>
      </c>
      <c r="AB310" s="31">
        <v>204655</v>
      </c>
    </row>
    <row r="311" spans="24:28">
      <c r="X311" s="30">
        <v>310</v>
      </c>
      <c r="Y311" s="31">
        <v>220040</v>
      </c>
      <c r="Z311" s="31">
        <v>5940</v>
      </c>
      <c r="AA311" s="31">
        <v>600</v>
      </c>
      <c r="AB311" s="31">
        <v>226580</v>
      </c>
    </row>
    <row r="312" spans="24:28">
      <c r="X312" s="30">
        <v>311</v>
      </c>
      <c r="Y312" s="31">
        <v>141015</v>
      </c>
      <c r="Z312" s="31">
        <v>10116</v>
      </c>
      <c r="AA312" s="31">
        <v>600</v>
      </c>
      <c r="AB312" s="31">
        <v>151731</v>
      </c>
    </row>
    <row r="313" spans="24:28">
      <c r="X313" s="30">
        <v>312</v>
      </c>
      <c r="Y313" s="31">
        <v>187735</v>
      </c>
      <c r="Z313" s="31">
        <v>2592</v>
      </c>
      <c r="AA313" s="31">
        <v>600</v>
      </c>
      <c r="AB313" s="31">
        <v>190927</v>
      </c>
    </row>
    <row r="314" spans="24:28">
      <c r="X314" s="30">
        <v>313</v>
      </c>
      <c r="Y314" s="31">
        <v>212750</v>
      </c>
      <c r="Z314" s="31">
        <v>7344</v>
      </c>
      <c r="AA314" s="31">
        <v>600</v>
      </c>
      <c r="AB314" s="31">
        <v>220694</v>
      </c>
    </row>
    <row r="315" spans="24:28">
      <c r="X315" s="30">
        <v>314</v>
      </c>
      <c r="Y315" s="31">
        <v>158665</v>
      </c>
      <c r="Z315" s="31">
        <v>12024</v>
      </c>
      <c r="AA315" s="31">
        <v>600</v>
      </c>
      <c r="AB315" s="31">
        <v>171289</v>
      </c>
    </row>
    <row r="316" spans="24:28">
      <c r="X316" s="30">
        <v>315</v>
      </c>
      <c r="Y316" s="31">
        <v>133490</v>
      </c>
      <c r="Z316" s="31">
        <v>7968</v>
      </c>
      <c r="AA316" s="31">
        <v>600</v>
      </c>
      <c r="AB316" s="31">
        <v>142058</v>
      </c>
    </row>
    <row r="317" spans="24:28">
      <c r="X317" s="30">
        <v>316</v>
      </c>
      <c r="Y317" s="31">
        <v>199255</v>
      </c>
      <c r="Z317" s="31">
        <v>3012</v>
      </c>
      <c r="AA317" s="31">
        <v>600</v>
      </c>
      <c r="AB317" s="31">
        <v>202867</v>
      </c>
    </row>
    <row r="318" spans="24:28">
      <c r="X318" s="30">
        <v>317</v>
      </c>
      <c r="Y318" s="31">
        <v>216195</v>
      </c>
      <c r="Z318" s="31">
        <v>3840</v>
      </c>
      <c r="AA318" s="31">
        <v>600</v>
      </c>
      <c r="AB318" s="31">
        <v>220635</v>
      </c>
    </row>
    <row r="319" spans="24:28">
      <c r="X319" s="30">
        <v>318</v>
      </c>
      <c r="Y319" s="31">
        <v>187295</v>
      </c>
      <c r="Z319" s="31">
        <v>11688</v>
      </c>
      <c r="AA319" s="31">
        <v>600</v>
      </c>
      <c r="AB319" s="31">
        <v>199583</v>
      </c>
    </row>
    <row r="320" spans="24:28">
      <c r="X320" s="30">
        <v>319</v>
      </c>
      <c r="Y320" s="31">
        <v>168650</v>
      </c>
      <c r="Z320" s="31">
        <v>12420</v>
      </c>
      <c r="AA320" s="31">
        <v>600</v>
      </c>
      <c r="AB320" s="31">
        <v>181670</v>
      </c>
    </row>
    <row r="321" spans="24:28">
      <c r="X321" s="30">
        <v>320</v>
      </c>
      <c r="Y321" s="31">
        <v>252800</v>
      </c>
      <c r="Z321" s="31">
        <v>0</v>
      </c>
      <c r="AA321" s="31">
        <v>600</v>
      </c>
      <c r="AB321" s="31">
        <v>253400</v>
      </c>
    </row>
    <row r="322" spans="24:28">
      <c r="X322" s="30">
        <v>321</v>
      </c>
      <c r="Y322" s="31">
        <v>182405</v>
      </c>
      <c r="Z322" s="31">
        <v>2940</v>
      </c>
      <c r="AA322" s="31">
        <v>600</v>
      </c>
      <c r="AB322" s="31">
        <v>185945</v>
      </c>
    </row>
    <row r="323" spans="24:28">
      <c r="X323" s="30">
        <v>322</v>
      </c>
      <c r="Y323" s="31">
        <v>241435</v>
      </c>
      <c r="Z323" s="31">
        <v>11568</v>
      </c>
      <c r="AA323" s="31">
        <v>600</v>
      </c>
      <c r="AB323" s="31">
        <v>253603</v>
      </c>
    </row>
    <row r="324" spans="24:28">
      <c r="X324" s="30">
        <v>323</v>
      </c>
      <c r="Y324" s="31">
        <v>174025</v>
      </c>
      <c r="Z324" s="31">
        <v>13080</v>
      </c>
      <c r="AA324" s="31">
        <v>600</v>
      </c>
      <c r="AB324" s="31">
        <v>187705</v>
      </c>
    </row>
    <row r="325" spans="24:28">
      <c r="X325" s="30">
        <v>324</v>
      </c>
      <c r="Y325" s="31">
        <v>235455</v>
      </c>
      <c r="Z325" s="31">
        <v>10368</v>
      </c>
      <c r="AA325" s="31">
        <v>600</v>
      </c>
      <c r="AB325" s="31">
        <v>246423</v>
      </c>
    </row>
    <row r="326" spans="24:28">
      <c r="X326" s="30">
        <v>325</v>
      </c>
      <c r="Y326" s="31">
        <v>198085</v>
      </c>
      <c r="Z326" s="31">
        <v>9204</v>
      </c>
      <c r="AA326" s="31">
        <v>600</v>
      </c>
      <c r="AB326" s="31">
        <v>207889</v>
      </c>
    </row>
    <row r="327" spans="24:28">
      <c r="X327" s="30">
        <v>326</v>
      </c>
      <c r="Y327" s="31">
        <v>189400</v>
      </c>
      <c r="Z327" s="31">
        <v>8100</v>
      </c>
      <c r="AA327" s="31">
        <v>600</v>
      </c>
      <c r="AB327" s="31">
        <v>198100</v>
      </c>
    </row>
    <row r="328" spans="24:28">
      <c r="X328" s="30">
        <v>327</v>
      </c>
      <c r="Y328" s="31">
        <v>205335</v>
      </c>
      <c r="Z328" s="31">
        <v>2700</v>
      </c>
      <c r="AA328" s="31">
        <v>600</v>
      </c>
      <c r="AB328" s="31">
        <v>208635</v>
      </c>
    </row>
    <row r="329" spans="24:28">
      <c r="X329" s="30">
        <v>328</v>
      </c>
      <c r="Y329" s="31">
        <v>181790</v>
      </c>
      <c r="Z329" s="31">
        <v>4956</v>
      </c>
      <c r="AA329" s="31">
        <v>600</v>
      </c>
      <c r="AB329" s="31">
        <v>187346</v>
      </c>
    </row>
    <row r="330" spans="24:28">
      <c r="X330" s="30">
        <v>329</v>
      </c>
      <c r="Y330" s="31">
        <v>224930</v>
      </c>
      <c r="Z330" s="31">
        <v>6216</v>
      </c>
      <c r="AA330" s="31">
        <v>600</v>
      </c>
      <c r="AB330" s="31">
        <v>231746</v>
      </c>
    </row>
    <row r="331" spans="24:28">
      <c r="X331" s="30">
        <v>330</v>
      </c>
      <c r="Y331" s="31">
        <v>179755</v>
      </c>
      <c r="Z331" s="31">
        <v>4980</v>
      </c>
      <c r="AA331" s="31">
        <v>600</v>
      </c>
      <c r="AB331" s="31">
        <v>185335</v>
      </c>
    </row>
    <row r="332" spans="24:28">
      <c r="X332" s="30">
        <v>331</v>
      </c>
      <c r="Y332" s="31">
        <v>201440</v>
      </c>
      <c r="Z332" s="31">
        <v>6408</v>
      </c>
      <c r="AA332" s="31">
        <v>600</v>
      </c>
      <c r="AB332" s="31">
        <v>208448</v>
      </c>
    </row>
    <row r="333" spans="24:28">
      <c r="X333" s="30">
        <v>332</v>
      </c>
      <c r="Y333" s="31">
        <v>219700</v>
      </c>
      <c r="Z333" s="31">
        <v>1248</v>
      </c>
      <c r="AA333" s="31">
        <v>600</v>
      </c>
      <c r="AB333" s="31">
        <v>221548</v>
      </c>
    </row>
    <row r="334" spans="24:28">
      <c r="X334" s="30">
        <v>333</v>
      </c>
      <c r="Y334" s="31">
        <v>206620</v>
      </c>
      <c r="Z334" s="31">
        <v>6972</v>
      </c>
      <c r="AA334" s="31">
        <v>600</v>
      </c>
      <c r="AB334" s="31">
        <v>214192</v>
      </c>
    </row>
    <row r="335" spans="24:28">
      <c r="X335" s="30">
        <v>334</v>
      </c>
      <c r="Y335" s="31">
        <v>153905</v>
      </c>
      <c r="Z335" s="31">
        <v>12096</v>
      </c>
      <c r="AA335" s="31">
        <v>600</v>
      </c>
      <c r="AB335" s="31">
        <v>166601</v>
      </c>
    </row>
    <row r="336" spans="24:28">
      <c r="X336" s="30">
        <v>335</v>
      </c>
      <c r="Y336" s="31">
        <v>233855</v>
      </c>
      <c r="Z336" s="31">
        <v>18156</v>
      </c>
      <c r="AA336" s="31">
        <v>600</v>
      </c>
      <c r="AB336" s="31">
        <v>252611</v>
      </c>
    </row>
    <row r="337" spans="24:28">
      <c r="X337" s="30">
        <v>336</v>
      </c>
      <c r="Y337" s="31">
        <v>173440</v>
      </c>
      <c r="Z337" s="31">
        <v>9840</v>
      </c>
      <c r="AA337" s="31">
        <v>600</v>
      </c>
      <c r="AB337" s="31">
        <v>183880</v>
      </c>
    </row>
    <row r="338" spans="24:28">
      <c r="X338" s="30">
        <v>337</v>
      </c>
      <c r="Y338" s="31">
        <v>209435</v>
      </c>
      <c r="Z338" s="31">
        <v>3672</v>
      </c>
      <c r="AA338" s="31">
        <v>600</v>
      </c>
      <c r="AB338" s="31">
        <v>213707</v>
      </c>
    </row>
    <row r="339" spans="24:28">
      <c r="X339" s="30">
        <v>338</v>
      </c>
      <c r="Y339" s="31">
        <v>173575</v>
      </c>
      <c r="Z339" s="31">
        <v>8076</v>
      </c>
      <c r="AA339" s="31">
        <v>600</v>
      </c>
      <c r="AB339" s="31">
        <v>182251</v>
      </c>
    </row>
    <row r="340" spans="24:28">
      <c r="X340" s="30">
        <v>339</v>
      </c>
      <c r="Y340" s="31">
        <v>147710</v>
      </c>
      <c r="Z340" s="31">
        <v>4584</v>
      </c>
      <c r="AA340" s="31">
        <v>600</v>
      </c>
      <c r="AB340" s="31">
        <v>152894</v>
      </c>
    </row>
    <row r="341" spans="24:28">
      <c r="X341" s="30">
        <v>340</v>
      </c>
      <c r="Y341" s="31">
        <v>187140</v>
      </c>
      <c r="Z341" s="31">
        <v>16680</v>
      </c>
      <c r="AA341" s="31">
        <v>600</v>
      </c>
      <c r="AB341" s="31">
        <v>204420</v>
      </c>
    </row>
    <row r="342" spans="24:28">
      <c r="X342" s="30">
        <v>341</v>
      </c>
      <c r="Y342" s="31">
        <v>165675</v>
      </c>
      <c r="Z342" s="31">
        <v>7800</v>
      </c>
      <c r="AA342" s="31">
        <v>600</v>
      </c>
      <c r="AB342" s="31">
        <v>174075</v>
      </c>
    </row>
    <row r="343" spans="24:28">
      <c r="X343" s="30">
        <v>342</v>
      </c>
      <c r="Y343" s="31">
        <v>180695</v>
      </c>
      <c r="Z343" s="31">
        <v>11748</v>
      </c>
      <c r="AA343" s="31">
        <v>600</v>
      </c>
      <c r="AB343" s="31">
        <v>193043</v>
      </c>
    </row>
    <row r="344" spans="24:28">
      <c r="X344" s="30">
        <v>343</v>
      </c>
      <c r="Y344" s="31">
        <v>192175</v>
      </c>
      <c r="Z344" s="31">
        <v>9264</v>
      </c>
      <c r="AA344" s="31">
        <v>600</v>
      </c>
      <c r="AB344" s="31">
        <v>202039</v>
      </c>
    </row>
    <row r="345" spans="24:28">
      <c r="X345" s="30">
        <v>344</v>
      </c>
      <c r="Y345" s="31">
        <v>239510</v>
      </c>
      <c r="Z345" s="31">
        <v>13932</v>
      </c>
      <c r="AA345" s="31">
        <v>600</v>
      </c>
      <c r="AB345" s="31">
        <v>254042</v>
      </c>
    </row>
    <row r="346" spans="24:28">
      <c r="X346" s="30">
        <v>345</v>
      </c>
      <c r="Y346" s="31">
        <v>149535</v>
      </c>
      <c r="Z346" s="31">
        <v>17028</v>
      </c>
      <c r="AA346" s="31">
        <v>600</v>
      </c>
      <c r="AB346" s="31">
        <v>167163</v>
      </c>
    </row>
    <row r="347" spans="24:28">
      <c r="X347" s="30">
        <v>346</v>
      </c>
      <c r="Y347" s="31">
        <v>210260</v>
      </c>
      <c r="Z347" s="31">
        <v>4116</v>
      </c>
      <c r="AA347" s="31">
        <v>600</v>
      </c>
      <c r="AB347" s="31">
        <v>214976</v>
      </c>
    </row>
    <row r="348" spans="24:28">
      <c r="X348" s="30">
        <v>347</v>
      </c>
      <c r="Y348" s="31">
        <v>170355</v>
      </c>
      <c r="Z348" s="31">
        <v>6504</v>
      </c>
      <c r="AA348" s="31">
        <v>600</v>
      </c>
      <c r="AB348" s="31">
        <v>177459</v>
      </c>
    </row>
    <row r="349" spans="24:28">
      <c r="X349" s="30">
        <v>348</v>
      </c>
      <c r="Y349" s="31">
        <v>203195</v>
      </c>
      <c r="Z349" s="31">
        <v>17484</v>
      </c>
      <c r="AA349" s="31">
        <v>600</v>
      </c>
      <c r="AB349" s="31">
        <v>221279</v>
      </c>
    </row>
    <row r="350" spans="24:28">
      <c r="X350" s="30">
        <v>349</v>
      </c>
      <c r="Y350" s="31">
        <v>168520</v>
      </c>
      <c r="Z350" s="31">
        <v>8772</v>
      </c>
      <c r="AA350" s="31">
        <v>600</v>
      </c>
      <c r="AB350" s="31">
        <v>177892</v>
      </c>
    </row>
    <row r="351" spans="24:28">
      <c r="X351" s="30">
        <v>350</v>
      </c>
      <c r="Y351" s="31">
        <v>194325</v>
      </c>
      <c r="Z351" s="31">
        <v>18768</v>
      </c>
      <c r="AA351" s="31">
        <v>600</v>
      </c>
      <c r="AB351" s="31">
        <v>213693</v>
      </c>
    </row>
    <row r="352" spans="24:28">
      <c r="X352" s="30">
        <v>351</v>
      </c>
      <c r="Y352" s="31">
        <v>166330</v>
      </c>
      <c r="Z352" s="31">
        <v>16932</v>
      </c>
      <c r="AA352" s="31">
        <v>600</v>
      </c>
      <c r="AB352" s="31">
        <v>183862</v>
      </c>
    </row>
    <row r="353" spans="24:28">
      <c r="X353" s="30">
        <v>352</v>
      </c>
      <c r="Y353" s="31">
        <v>205930</v>
      </c>
      <c r="Z353" s="31">
        <v>15840</v>
      </c>
      <c r="AA353" s="31">
        <v>600</v>
      </c>
      <c r="AB353" s="31">
        <v>222370</v>
      </c>
    </row>
    <row r="354" spans="24:28">
      <c r="X354" s="30">
        <v>353</v>
      </c>
      <c r="Y354" s="31">
        <v>209360</v>
      </c>
      <c r="Z354" s="31">
        <v>12144</v>
      </c>
      <c r="AA354" s="31">
        <v>600</v>
      </c>
      <c r="AB354" s="31">
        <v>222104</v>
      </c>
    </row>
    <row r="355" spans="24:28">
      <c r="X355" s="30">
        <v>354</v>
      </c>
      <c r="Y355" s="31">
        <v>259175</v>
      </c>
      <c r="Z355" s="31">
        <v>8856</v>
      </c>
      <c r="AA355" s="31">
        <v>600</v>
      </c>
      <c r="AB355" s="31">
        <v>268631</v>
      </c>
    </row>
    <row r="356" spans="24:28">
      <c r="X356" s="30">
        <v>355</v>
      </c>
      <c r="Y356" s="31">
        <v>175785</v>
      </c>
      <c r="Z356" s="31">
        <v>7836</v>
      </c>
      <c r="AA356" s="31">
        <v>600</v>
      </c>
      <c r="AB356" s="31">
        <v>184221</v>
      </c>
    </row>
    <row r="357" spans="24:28">
      <c r="X357" s="30">
        <v>356</v>
      </c>
      <c r="Y357" s="31">
        <v>145830</v>
      </c>
      <c r="Z357" s="31">
        <v>8148</v>
      </c>
      <c r="AA357" s="31">
        <v>600</v>
      </c>
      <c r="AB357" s="31">
        <v>154578</v>
      </c>
    </row>
    <row r="358" spans="24:28">
      <c r="X358" s="30">
        <v>357</v>
      </c>
      <c r="Y358" s="31">
        <v>208455</v>
      </c>
      <c r="Z358" s="31">
        <v>8472</v>
      </c>
      <c r="AA358" s="31">
        <v>600</v>
      </c>
      <c r="AB358" s="31">
        <v>217527</v>
      </c>
    </row>
    <row r="359" spans="24:28">
      <c r="X359" s="30">
        <v>358</v>
      </c>
      <c r="Y359" s="31">
        <v>170485</v>
      </c>
      <c r="Z359" s="31">
        <v>8340</v>
      </c>
      <c r="AA359" s="31">
        <v>600</v>
      </c>
      <c r="AB359" s="31">
        <v>179425</v>
      </c>
    </row>
    <row r="360" spans="24:28">
      <c r="X360" s="30">
        <v>359</v>
      </c>
      <c r="Y360" s="31">
        <v>155105</v>
      </c>
      <c r="Z360" s="31">
        <v>8904</v>
      </c>
      <c r="AA360" s="31">
        <v>600</v>
      </c>
      <c r="AB360" s="31">
        <v>164609</v>
      </c>
    </row>
    <row r="361" spans="24:28">
      <c r="X361" s="30">
        <v>360</v>
      </c>
      <c r="Y361" s="31">
        <v>216330</v>
      </c>
      <c r="Z361" s="31">
        <v>9048</v>
      </c>
      <c r="AA361" s="31">
        <v>600</v>
      </c>
      <c r="AB361" s="31">
        <v>225978</v>
      </c>
    </row>
    <row r="362" spans="24:28">
      <c r="X362" s="30">
        <v>361</v>
      </c>
      <c r="Y362" s="31">
        <v>192135</v>
      </c>
      <c r="Z362" s="31">
        <v>19896</v>
      </c>
      <c r="AA362" s="31">
        <v>600</v>
      </c>
      <c r="AB362" s="31">
        <v>212631</v>
      </c>
    </row>
    <row r="363" spans="24:28">
      <c r="X363" s="30">
        <v>362</v>
      </c>
      <c r="Y363" s="31">
        <v>142415</v>
      </c>
      <c r="Z363" s="31">
        <v>5724</v>
      </c>
      <c r="AA363" s="31">
        <v>600</v>
      </c>
      <c r="AB363" s="31">
        <v>148739</v>
      </c>
    </row>
    <row r="364" spans="24:28">
      <c r="X364" s="30">
        <v>363</v>
      </c>
      <c r="Y364" s="31">
        <v>220350</v>
      </c>
      <c r="Z364" s="31">
        <v>10440</v>
      </c>
      <c r="AA364" s="31">
        <v>600</v>
      </c>
      <c r="AB364" s="31">
        <v>231390</v>
      </c>
    </row>
    <row r="365" spans="24:28">
      <c r="X365" s="30">
        <v>364</v>
      </c>
      <c r="Y365" s="31">
        <v>192130</v>
      </c>
      <c r="Z365" s="31">
        <v>10632</v>
      </c>
      <c r="AA365" s="31">
        <v>600</v>
      </c>
      <c r="AB365" s="31">
        <v>203362</v>
      </c>
    </row>
    <row r="366" spans="24:28">
      <c r="X366" s="30">
        <v>365</v>
      </c>
      <c r="Y366" s="31">
        <v>206965</v>
      </c>
      <c r="Z366" s="31">
        <v>18360</v>
      </c>
      <c r="AA366" s="31">
        <v>600</v>
      </c>
      <c r="AB366" s="31">
        <v>225925</v>
      </c>
    </row>
    <row r="367" spans="24:28">
      <c r="X367" s="30">
        <v>366</v>
      </c>
      <c r="Y367" s="31">
        <v>211245</v>
      </c>
      <c r="Z367" s="31">
        <v>1488</v>
      </c>
      <c r="AA367" s="31">
        <v>600</v>
      </c>
      <c r="AB367" s="31">
        <v>213333</v>
      </c>
    </row>
    <row r="368" spans="24:28">
      <c r="X368" s="30">
        <v>367</v>
      </c>
      <c r="Y368" s="31">
        <v>166295</v>
      </c>
      <c r="Z368" s="31">
        <v>16944</v>
      </c>
      <c r="AA368" s="31">
        <v>600</v>
      </c>
      <c r="AB368" s="31">
        <v>183839</v>
      </c>
    </row>
    <row r="369" spans="24:28">
      <c r="X369" s="30">
        <v>368</v>
      </c>
      <c r="Y369" s="31">
        <v>188400</v>
      </c>
      <c r="Z369" s="31">
        <v>15396</v>
      </c>
      <c r="AA369" s="31">
        <v>600</v>
      </c>
      <c r="AB369" s="31">
        <v>204396</v>
      </c>
    </row>
    <row r="370" spans="24:28">
      <c r="X370" s="30">
        <v>369</v>
      </c>
      <c r="Y370" s="31">
        <v>158835</v>
      </c>
      <c r="Z370" s="31">
        <v>2496</v>
      </c>
      <c r="AA370" s="31">
        <v>600</v>
      </c>
      <c r="AB370" s="31">
        <v>161931</v>
      </c>
    </row>
    <row r="371" spans="24:28">
      <c r="X371" s="30">
        <v>370</v>
      </c>
      <c r="Y371" s="31">
        <v>188025</v>
      </c>
      <c r="Z371" s="31">
        <v>0</v>
      </c>
      <c r="AA371" s="31">
        <v>600</v>
      </c>
      <c r="AB371" s="31">
        <v>188625</v>
      </c>
    </row>
    <row r="372" spans="24:28">
      <c r="X372" s="30">
        <v>371</v>
      </c>
      <c r="Y372" s="31">
        <v>223770</v>
      </c>
      <c r="Z372" s="31">
        <v>9276</v>
      </c>
      <c r="AA372" s="31">
        <v>600</v>
      </c>
      <c r="AB372" s="31">
        <v>233646</v>
      </c>
    </row>
    <row r="373" spans="24:28">
      <c r="X373" s="30">
        <v>372</v>
      </c>
      <c r="Y373" s="31">
        <v>167365</v>
      </c>
      <c r="Z373" s="31">
        <v>17448</v>
      </c>
      <c r="AA373" s="31">
        <v>600</v>
      </c>
      <c r="AB373" s="31">
        <v>185413</v>
      </c>
    </row>
    <row r="374" spans="24:28">
      <c r="X374" s="30">
        <v>373</v>
      </c>
      <c r="Y374" s="31">
        <v>161755</v>
      </c>
      <c r="Z374" s="31">
        <v>19464</v>
      </c>
      <c r="AA374" s="31">
        <v>450</v>
      </c>
      <c r="AB374" s="31">
        <v>181669</v>
      </c>
    </row>
    <row r="375" spans="24:28">
      <c r="X375" s="30">
        <v>374</v>
      </c>
      <c r="Y375" s="31">
        <v>192365</v>
      </c>
      <c r="Z375" s="31">
        <v>7704</v>
      </c>
      <c r="AA375" s="31">
        <v>600</v>
      </c>
      <c r="AB375" s="31">
        <v>200669</v>
      </c>
    </row>
    <row r="376" spans="24:28">
      <c r="X376" s="30">
        <v>375</v>
      </c>
      <c r="Y376" s="31">
        <v>222030</v>
      </c>
      <c r="Z376" s="31">
        <v>16128</v>
      </c>
      <c r="AA376" s="31">
        <v>600</v>
      </c>
      <c r="AB376" s="31">
        <v>238758</v>
      </c>
    </row>
    <row r="377" spans="24:28">
      <c r="X377" s="30">
        <v>376</v>
      </c>
      <c r="Y377" s="31">
        <v>150775</v>
      </c>
      <c r="Z377" s="31">
        <v>12636</v>
      </c>
      <c r="AA377" s="31">
        <v>600</v>
      </c>
      <c r="AB377" s="31">
        <v>164011</v>
      </c>
    </row>
    <row r="378" spans="24:28">
      <c r="X378" s="30">
        <v>377</v>
      </c>
      <c r="Y378" s="31">
        <v>197170</v>
      </c>
      <c r="Z378" s="31">
        <v>8316</v>
      </c>
      <c r="AA378" s="31">
        <v>600</v>
      </c>
      <c r="AB378" s="31">
        <v>206086</v>
      </c>
    </row>
    <row r="379" spans="24:28">
      <c r="X379" s="30">
        <v>378</v>
      </c>
      <c r="Y379" s="31">
        <v>206035</v>
      </c>
      <c r="Z379" s="31">
        <v>16560</v>
      </c>
      <c r="AA379" s="31">
        <v>600</v>
      </c>
      <c r="AB379" s="31">
        <v>223195</v>
      </c>
    </row>
    <row r="380" spans="24:28">
      <c r="X380" s="30">
        <v>379</v>
      </c>
      <c r="Y380" s="31">
        <v>204910</v>
      </c>
      <c r="Z380" s="31">
        <v>14784</v>
      </c>
      <c r="AA380" s="31">
        <v>600</v>
      </c>
      <c r="AB380" s="31">
        <v>220294</v>
      </c>
    </row>
    <row r="381" spans="24:28">
      <c r="X381" s="30">
        <v>380</v>
      </c>
      <c r="Y381" s="31">
        <v>153135</v>
      </c>
      <c r="Z381" s="31">
        <v>17916</v>
      </c>
      <c r="AA381" s="31">
        <v>600</v>
      </c>
      <c r="AB381" s="31">
        <v>171651</v>
      </c>
    </row>
    <row r="382" spans="24:28">
      <c r="X382" s="30">
        <v>381</v>
      </c>
      <c r="Y382" s="31">
        <v>169680</v>
      </c>
      <c r="Z382" s="31">
        <v>4128</v>
      </c>
      <c r="AA382" s="31">
        <v>600</v>
      </c>
      <c r="AB382" s="31">
        <v>174408</v>
      </c>
    </row>
    <row r="383" spans="24:28">
      <c r="X383" s="30">
        <v>382</v>
      </c>
      <c r="Y383" s="31">
        <v>177865</v>
      </c>
      <c r="Z383" s="31">
        <v>18384</v>
      </c>
      <c r="AA383" s="31">
        <v>600</v>
      </c>
      <c r="AB383" s="31">
        <v>196849</v>
      </c>
    </row>
    <row r="384" spans="24:28">
      <c r="X384" s="30">
        <v>383</v>
      </c>
      <c r="Y384" s="31">
        <v>166740</v>
      </c>
      <c r="Z384" s="31">
        <v>3552</v>
      </c>
      <c r="AA384" s="31">
        <v>600</v>
      </c>
      <c r="AB384" s="31">
        <v>170892</v>
      </c>
    </row>
    <row r="385" spans="24:28">
      <c r="X385" s="30">
        <v>384</v>
      </c>
      <c r="Y385" s="31">
        <v>177000</v>
      </c>
      <c r="Z385" s="31">
        <v>20904</v>
      </c>
      <c r="AA385" s="31">
        <v>450</v>
      </c>
      <c r="AB385" s="31">
        <v>198354</v>
      </c>
    </row>
    <row r="386" spans="24:28">
      <c r="X386" s="30">
        <v>385</v>
      </c>
      <c r="Y386" s="31">
        <v>159520</v>
      </c>
      <c r="Z386" s="31">
        <v>7056</v>
      </c>
      <c r="AA386" s="31">
        <v>600</v>
      </c>
      <c r="AB386" s="31">
        <v>167176</v>
      </c>
    </row>
    <row r="387" spans="24:28">
      <c r="X387" s="30">
        <v>386</v>
      </c>
      <c r="Y387" s="31">
        <v>204705</v>
      </c>
      <c r="Z387" s="31">
        <v>11604</v>
      </c>
      <c r="AA387" s="31">
        <v>600</v>
      </c>
      <c r="AB387" s="31">
        <v>216909</v>
      </c>
    </row>
    <row r="388" spans="24:28">
      <c r="X388" s="30">
        <v>387</v>
      </c>
      <c r="Y388" s="31">
        <v>205025</v>
      </c>
      <c r="Z388" s="31">
        <v>20244</v>
      </c>
      <c r="AA388" s="31">
        <v>450</v>
      </c>
      <c r="AB388" s="31">
        <v>225719</v>
      </c>
    </row>
    <row r="389" spans="24:28">
      <c r="X389" s="30">
        <v>388</v>
      </c>
      <c r="Y389" s="31">
        <v>176815</v>
      </c>
      <c r="Z389" s="31">
        <v>6468</v>
      </c>
      <c r="AA389" s="31">
        <v>600</v>
      </c>
      <c r="AB389" s="31">
        <v>183883</v>
      </c>
    </row>
    <row r="390" spans="24:28">
      <c r="X390" s="30">
        <v>389</v>
      </c>
      <c r="Y390" s="31">
        <v>157520</v>
      </c>
      <c r="Z390" s="31">
        <v>6156</v>
      </c>
      <c r="AA390" s="31">
        <v>600</v>
      </c>
      <c r="AB390" s="31">
        <v>164276</v>
      </c>
    </row>
    <row r="391" spans="24:28">
      <c r="X391" s="30">
        <v>390</v>
      </c>
      <c r="Y391" s="31">
        <v>198040</v>
      </c>
      <c r="Z391" s="31">
        <v>6384</v>
      </c>
      <c r="AA391" s="31">
        <v>600</v>
      </c>
      <c r="AB391" s="31">
        <v>205024</v>
      </c>
    </row>
    <row r="392" spans="24:28">
      <c r="X392" s="30">
        <v>391</v>
      </c>
      <c r="Y392" s="31">
        <v>212260</v>
      </c>
      <c r="Z392" s="31">
        <v>10896</v>
      </c>
      <c r="AA392" s="31">
        <v>600</v>
      </c>
      <c r="AB392" s="31">
        <v>223756</v>
      </c>
    </row>
    <row r="393" spans="24:28">
      <c r="X393" s="30">
        <v>392</v>
      </c>
      <c r="Y393" s="31">
        <v>190305</v>
      </c>
      <c r="Z393" s="31">
        <v>12276</v>
      </c>
      <c r="AA393" s="31">
        <v>600</v>
      </c>
      <c r="AB393" s="31">
        <v>203181</v>
      </c>
    </row>
    <row r="394" spans="24:28">
      <c r="X394" s="30">
        <v>393</v>
      </c>
      <c r="Y394" s="31">
        <v>190205</v>
      </c>
      <c r="Z394" s="31">
        <v>12720</v>
      </c>
      <c r="AA394" s="31">
        <v>600</v>
      </c>
      <c r="AB394" s="31">
        <v>203525</v>
      </c>
    </row>
    <row r="395" spans="24:28">
      <c r="X395" s="30">
        <v>394</v>
      </c>
      <c r="Y395" s="31">
        <v>225490</v>
      </c>
      <c r="Z395" s="31">
        <v>7500</v>
      </c>
      <c r="AA395" s="31">
        <v>600</v>
      </c>
      <c r="AB395" s="31">
        <v>233590</v>
      </c>
    </row>
    <row r="396" spans="24:28">
      <c r="X396" s="30">
        <v>395</v>
      </c>
      <c r="Y396" s="31">
        <v>169250</v>
      </c>
      <c r="Z396" s="31">
        <v>3744</v>
      </c>
      <c r="AA396" s="31">
        <v>600</v>
      </c>
      <c r="AB396" s="31">
        <v>173594</v>
      </c>
    </row>
    <row r="397" spans="24:28">
      <c r="X397" s="30">
        <v>396</v>
      </c>
      <c r="Y397" s="31">
        <v>165725</v>
      </c>
      <c r="Z397" s="31">
        <v>2964</v>
      </c>
      <c r="AA397" s="31">
        <v>600</v>
      </c>
      <c r="AB397" s="31">
        <v>169289</v>
      </c>
    </row>
    <row r="398" spans="24:28">
      <c r="X398" s="30">
        <v>397</v>
      </c>
      <c r="Y398" s="31">
        <v>160705</v>
      </c>
      <c r="Z398" s="31">
        <v>9240</v>
      </c>
      <c r="AA398" s="31">
        <v>600</v>
      </c>
      <c r="AB398" s="31">
        <v>170545</v>
      </c>
    </row>
    <row r="399" spans="24:28">
      <c r="X399" s="30">
        <v>398</v>
      </c>
      <c r="Y399" s="31">
        <v>186675</v>
      </c>
      <c r="Z399" s="31">
        <v>11616</v>
      </c>
      <c r="AA399" s="31">
        <v>600</v>
      </c>
      <c r="AB399" s="31">
        <v>198891</v>
      </c>
    </row>
    <row r="400" spans="24:28">
      <c r="X400" s="30">
        <v>399</v>
      </c>
      <c r="Y400" s="31">
        <v>166655</v>
      </c>
      <c r="Z400" s="31">
        <v>24312</v>
      </c>
      <c r="AA400" s="31">
        <v>450</v>
      </c>
      <c r="AB400" s="31">
        <v>191417</v>
      </c>
    </row>
    <row r="401" spans="24:28">
      <c r="X401" s="30">
        <v>400</v>
      </c>
      <c r="Y401" s="31">
        <v>170985</v>
      </c>
      <c r="Z401" s="31">
        <v>11436</v>
      </c>
      <c r="AA401" s="31">
        <v>600</v>
      </c>
      <c r="AB401" s="31">
        <v>183021</v>
      </c>
    </row>
    <row r="402" spans="24:28">
      <c r="X402" s="30">
        <v>401</v>
      </c>
      <c r="Y402" s="31">
        <v>191500</v>
      </c>
      <c r="Z402" s="31">
        <v>16284</v>
      </c>
      <c r="AA402" s="31">
        <v>600</v>
      </c>
      <c r="AB402" s="31">
        <v>208384</v>
      </c>
    </row>
    <row r="403" spans="24:28">
      <c r="X403" s="30">
        <v>402</v>
      </c>
      <c r="Y403" s="31">
        <v>196725</v>
      </c>
      <c r="Z403" s="31">
        <v>3180</v>
      </c>
      <c r="AA403" s="31">
        <v>600</v>
      </c>
      <c r="AB403" s="31">
        <v>200505</v>
      </c>
    </row>
    <row r="404" spans="24:28">
      <c r="X404" s="30">
        <v>403</v>
      </c>
      <c r="Y404" s="31">
        <v>270520</v>
      </c>
      <c r="Z404" s="31">
        <v>11592</v>
      </c>
      <c r="AA404" s="31">
        <v>600</v>
      </c>
      <c r="AB404" s="31">
        <v>282712</v>
      </c>
    </row>
    <row r="405" spans="24:28">
      <c r="X405" s="30">
        <v>404</v>
      </c>
      <c r="Y405" s="31">
        <v>150635</v>
      </c>
      <c r="Z405" s="31">
        <v>2832</v>
      </c>
      <c r="AA405" s="31">
        <v>600</v>
      </c>
      <c r="AB405" s="31">
        <v>154067</v>
      </c>
    </row>
    <row r="406" spans="24:28">
      <c r="X406" s="30">
        <v>405</v>
      </c>
      <c r="Y406" s="31">
        <v>227940</v>
      </c>
      <c r="Z406" s="31">
        <v>10296</v>
      </c>
      <c r="AA406" s="31">
        <v>600</v>
      </c>
      <c r="AB406" s="31">
        <v>238836</v>
      </c>
    </row>
    <row r="407" spans="24:28">
      <c r="X407" s="30">
        <v>406</v>
      </c>
      <c r="Y407" s="31">
        <v>171300</v>
      </c>
      <c r="Z407" s="31">
        <v>12228</v>
      </c>
      <c r="AA407" s="31">
        <v>600</v>
      </c>
      <c r="AB407" s="31">
        <v>184128</v>
      </c>
    </row>
    <row r="408" spans="24:28">
      <c r="X408" s="30">
        <v>407</v>
      </c>
      <c r="Y408" s="31">
        <v>160710</v>
      </c>
      <c r="Z408" s="31">
        <v>1656</v>
      </c>
      <c r="AA408" s="31">
        <v>600</v>
      </c>
      <c r="AB408" s="31">
        <v>162966</v>
      </c>
    </row>
    <row r="409" spans="24:28">
      <c r="X409" s="30">
        <v>408</v>
      </c>
      <c r="Y409" s="31">
        <v>198260</v>
      </c>
      <c r="Z409" s="31">
        <v>5244</v>
      </c>
      <c r="AA409" s="31">
        <v>600</v>
      </c>
      <c r="AB409" s="31">
        <v>204104</v>
      </c>
    </row>
    <row r="410" spans="24:28">
      <c r="X410" s="30">
        <v>409</v>
      </c>
      <c r="Y410" s="31">
        <v>199055</v>
      </c>
      <c r="Z410" s="31">
        <v>18060</v>
      </c>
      <c r="AA410" s="31">
        <v>600</v>
      </c>
      <c r="AB410" s="31">
        <v>217715</v>
      </c>
    </row>
    <row r="411" spans="24:28">
      <c r="X411" s="30">
        <v>410</v>
      </c>
      <c r="Y411" s="31">
        <v>208595</v>
      </c>
      <c r="Z411" s="31">
        <v>13872</v>
      </c>
      <c r="AA411" s="31">
        <v>600</v>
      </c>
      <c r="AB411" s="31">
        <v>223067</v>
      </c>
    </row>
    <row r="412" spans="24:28">
      <c r="X412" s="30">
        <v>411</v>
      </c>
      <c r="Y412" s="31">
        <v>206550</v>
      </c>
      <c r="Z412" s="31">
        <v>16344</v>
      </c>
      <c r="AA412" s="31">
        <v>600</v>
      </c>
      <c r="AB412" s="31">
        <v>223494</v>
      </c>
    </row>
    <row r="413" spans="24:28">
      <c r="X413" s="30">
        <v>412</v>
      </c>
      <c r="Y413" s="31">
        <v>197290</v>
      </c>
      <c r="Z413" s="31">
        <v>7632</v>
      </c>
      <c r="AA413" s="31">
        <v>600</v>
      </c>
      <c r="AB413" s="31">
        <v>205522</v>
      </c>
    </row>
    <row r="414" spans="24:28">
      <c r="X414" s="30">
        <v>413</v>
      </c>
      <c r="Y414" s="31">
        <v>214865</v>
      </c>
      <c r="Z414" s="31">
        <v>10080</v>
      </c>
      <c r="AA414" s="31">
        <v>600</v>
      </c>
      <c r="AB414" s="31">
        <v>225545</v>
      </c>
    </row>
    <row r="415" spans="24:28">
      <c r="X415" s="30">
        <v>414</v>
      </c>
      <c r="Y415" s="31">
        <v>203390</v>
      </c>
      <c r="Z415" s="31">
        <v>3480</v>
      </c>
      <c r="AA415" s="31">
        <v>600</v>
      </c>
      <c r="AB415" s="31">
        <v>207470</v>
      </c>
    </row>
    <row r="416" spans="24:28">
      <c r="X416" s="30">
        <v>415</v>
      </c>
      <c r="Y416" s="31">
        <v>155240</v>
      </c>
      <c r="Z416" s="31">
        <v>9156</v>
      </c>
      <c r="AA416" s="31">
        <v>600</v>
      </c>
      <c r="AB416" s="31">
        <v>164996</v>
      </c>
    </row>
    <row r="417" spans="24:28">
      <c r="X417" s="30">
        <v>416</v>
      </c>
      <c r="Y417" s="31">
        <v>184175</v>
      </c>
      <c r="Z417" s="31">
        <v>12816</v>
      </c>
      <c r="AA417" s="31">
        <v>600</v>
      </c>
      <c r="AB417" s="31">
        <v>197591</v>
      </c>
    </row>
    <row r="418" spans="24:28">
      <c r="X418" s="30">
        <v>417</v>
      </c>
      <c r="Y418" s="31">
        <v>164435</v>
      </c>
      <c r="Z418" s="31">
        <v>11676</v>
      </c>
      <c r="AA418" s="31">
        <v>600</v>
      </c>
      <c r="AB418" s="31">
        <v>176711</v>
      </c>
    </row>
    <row r="419" spans="24:28">
      <c r="X419" s="30">
        <v>418</v>
      </c>
      <c r="Y419" s="31">
        <v>219170</v>
      </c>
      <c r="Z419" s="31">
        <v>15684</v>
      </c>
      <c r="AA419" s="31">
        <v>600</v>
      </c>
      <c r="AB419" s="31">
        <v>235454</v>
      </c>
    </row>
    <row r="420" spans="24:28">
      <c r="X420" s="30">
        <v>419</v>
      </c>
      <c r="Y420" s="31">
        <v>238505</v>
      </c>
      <c r="Z420" s="31">
        <v>9480</v>
      </c>
      <c r="AA420" s="31">
        <v>600</v>
      </c>
      <c r="AB420" s="31">
        <v>248585</v>
      </c>
    </row>
    <row r="421" spans="24:28">
      <c r="X421" s="30">
        <v>420</v>
      </c>
      <c r="Y421" s="31">
        <v>194820</v>
      </c>
      <c r="Z421" s="31">
        <v>8940</v>
      </c>
      <c r="AA421" s="31">
        <v>600</v>
      </c>
      <c r="AB421" s="31">
        <v>204360</v>
      </c>
    </row>
    <row r="422" spans="24:28">
      <c r="X422" s="30">
        <v>421</v>
      </c>
      <c r="Y422" s="31">
        <v>187540</v>
      </c>
      <c r="Z422" s="31">
        <v>480</v>
      </c>
      <c r="AA422" s="31">
        <v>600</v>
      </c>
      <c r="AB422" s="31">
        <v>188620</v>
      </c>
    </row>
    <row r="423" spans="24:28">
      <c r="X423" s="30">
        <v>422</v>
      </c>
      <c r="Y423" s="31">
        <v>231480</v>
      </c>
      <c r="Z423" s="31">
        <v>8964</v>
      </c>
      <c r="AA423" s="31">
        <v>600</v>
      </c>
      <c r="AB423" s="31">
        <v>241044</v>
      </c>
    </row>
    <row r="424" spans="24:28">
      <c r="X424" s="30">
        <v>423</v>
      </c>
      <c r="Y424" s="31">
        <v>247980</v>
      </c>
      <c r="Z424" s="31">
        <v>11868</v>
      </c>
      <c r="AA424" s="31">
        <v>600</v>
      </c>
      <c r="AB424" s="31">
        <v>260448</v>
      </c>
    </row>
    <row r="425" spans="24:28">
      <c r="X425" s="30">
        <v>424</v>
      </c>
      <c r="Y425" s="31">
        <v>224715</v>
      </c>
      <c r="Z425" s="31">
        <v>9360</v>
      </c>
      <c r="AA425" s="31">
        <v>600</v>
      </c>
      <c r="AB425" s="31">
        <v>234675</v>
      </c>
    </row>
    <row r="426" spans="24:28">
      <c r="X426" s="30">
        <v>425</v>
      </c>
      <c r="Y426" s="31">
        <v>186305</v>
      </c>
      <c r="Z426" s="31">
        <v>10968</v>
      </c>
      <c r="AA426" s="31">
        <v>600</v>
      </c>
      <c r="AB426" s="31">
        <v>197873</v>
      </c>
    </row>
    <row r="427" spans="24:28">
      <c r="X427" s="30">
        <v>426</v>
      </c>
      <c r="Y427" s="31">
        <v>192750</v>
      </c>
      <c r="Z427" s="31">
        <v>3168</v>
      </c>
      <c r="AA427" s="31">
        <v>600</v>
      </c>
      <c r="AB427" s="31">
        <v>196518</v>
      </c>
    </row>
    <row r="428" spans="24:28">
      <c r="X428" s="30">
        <v>427</v>
      </c>
      <c r="Y428" s="31">
        <v>186375</v>
      </c>
      <c r="Z428" s="31">
        <v>14592</v>
      </c>
      <c r="AA428" s="31">
        <v>600</v>
      </c>
      <c r="AB428" s="31">
        <v>201567</v>
      </c>
    </row>
    <row r="429" spans="24:28">
      <c r="X429" s="30">
        <v>428</v>
      </c>
      <c r="Y429" s="31">
        <v>143930</v>
      </c>
      <c r="Z429" s="31">
        <v>15444</v>
      </c>
      <c r="AA429" s="31">
        <v>600</v>
      </c>
      <c r="AB429" s="31">
        <v>159974</v>
      </c>
    </row>
    <row r="430" spans="24:28">
      <c r="X430" s="30">
        <v>429</v>
      </c>
      <c r="Y430" s="31">
        <v>195895</v>
      </c>
      <c r="Z430" s="31">
        <v>15696</v>
      </c>
      <c r="AA430" s="31">
        <v>600</v>
      </c>
      <c r="AB430" s="31">
        <v>212191</v>
      </c>
    </row>
    <row r="431" spans="24:28">
      <c r="X431" s="30">
        <v>430</v>
      </c>
      <c r="Y431" s="31">
        <v>183200</v>
      </c>
      <c r="Z431" s="31">
        <v>5616</v>
      </c>
      <c r="AA431" s="31">
        <v>600</v>
      </c>
      <c r="AB431" s="31">
        <v>189416</v>
      </c>
    </row>
    <row r="432" spans="24:28">
      <c r="X432" s="30">
        <v>431</v>
      </c>
      <c r="Y432" s="31">
        <v>187410</v>
      </c>
      <c r="Z432" s="31">
        <v>7308</v>
      </c>
      <c r="AA432" s="31">
        <v>600</v>
      </c>
      <c r="AB432" s="31">
        <v>195318</v>
      </c>
    </row>
    <row r="433" spans="24:28">
      <c r="X433" s="30">
        <v>432</v>
      </c>
      <c r="Y433" s="31">
        <v>221770</v>
      </c>
      <c r="Z433" s="31">
        <v>6744</v>
      </c>
      <c r="AA433" s="31">
        <v>600</v>
      </c>
      <c r="AB433" s="31">
        <v>229114</v>
      </c>
    </row>
    <row r="434" spans="24:28">
      <c r="X434" s="30">
        <v>433</v>
      </c>
      <c r="Y434" s="31">
        <v>280835</v>
      </c>
      <c r="Z434" s="31">
        <v>6396</v>
      </c>
      <c r="AA434" s="31">
        <v>600</v>
      </c>
      <c r="AB434" s="31">
        <v>287831</v>
      </c>
    </row>
    <row r="435" spans="24:28">
      <c r="X435" s="30">
        <v>434</v>
      </c>
      <c r="Y435" s="31">
        <v>184550</v>
      </c>
      <c r="Z435" s="31">
        <v>13956</v>
      </c>
      <c r="AA435" s="31">
        <v>600</v>
      </c>
      <c r="AB435" s="31">
        <v>199106</v>
      </c>
    </row>
    <row r="436" spans="24:28">
      <c r="X436" s="30">
        <v>435</v>
      </c>
      <c r="Y436" s="31">
        <v>231720</v>
      </c>
      <c r="Z436" s="31">
        <v>16152</v>
      </c>
      <c r="AA436" s="31">
        <v>450</v>
      </c>
      <c r="AB436" s="31">
        <v>248322</v>
      </c>
    </row>
    <row r="437" spans="24:28">
      <c r="X437" s="30">
        <v>436</v>
      </c>
      <c r="Y437" s="31">
        <v>185830</v>
      </c>
      <c r="Z437" s="31">
        <v>14892</v>
      </c>
      <c r="AA437" s="31">
        <v>600</v>
      </c>
      <c r="AB437" s="31">
        <v>201322</v>
      </c>
    </row>
    <row r="438" spans="24:28">
      <c r="X438" s="30">
        <v>437</v>
      </c>
      <c r="Y438" s="31">
        <v>207415</v>
      </c>
      <c r="Z438" s="31">
        <v>20316</v>
      </c>
      <c r="AA438" s="31">
        <v>450</v>
      </c>
      <c r="AB438" s="31">
        <v>228181</v>
      </c>
    </row>
    <row r="439" spans="24:28">
      <c r="X439" s="30">
        <v>438</v>
      </c>
      <c r="Y439" s="31">
        <v>217575</v>
      </c>
      <c r="Z439" s="31">
        <v>9912</v>
      </c>
      <c r="AA439" s="31">
        <v>600</v>
      </c>
      <c r="AB439" s="31">
        <v>228087</v>
      </c>
    </row>
    <row r="440" spans="24:28">
      <c r="X440" s="30">
        <v>439</v>
      </c>
      <c r="Y440" s="31">
        <v>194025</v>
      </c>
      <c r="Z440" s="31">
        <v>20640</v>
      </c>
      <c r="AA440" s="31">
        <v>600</v>
      </c>
      <c r="AB440" s="31">
        <v>215265</v>
      </c>
    </row>
    <row r="441" spans="24:28">
      <c r="X441" s="30">
        <v>440</v>
      </c>
      <c r="Y441" s="31">
        <v>202310</v>
      </c>
      <c r="Z441" s="31">
        <v>10980</v>
      </c>
      <c r="AA441" s="31">
        <v>600</v>
      </c>
      <c r="AB441" s="31">
        <v>213890</v>
      </c>
    </row>
    <row r="442" spans="24:28">
      <c r="X442" s="30">
        <v>441</v>
      </c>
      <c r="Y442" s="31">
        <v>192490</v>
      </c>
      <c r="Z442" s="31">
        <v>144</v>
      </c>
      <c r="AA442" s="31">
        <v>600</v>
      </c>
      <c r="AB442" s="31">
        <v>193234</v>
      </c>
    </row>
    <row r="443" spans="24:28">
      <c r="X443" s="30">
        <v>442</v>
      </c>
      <c r="Y443" s="31">
        <v>212955</v>
      </c>
      <c r="Z443" s="31">
        <v>5160</v>
      </c>
      <c r="AA443" s="31">
        <v>600</v>
      </c>
      <c r="AB443" s="31">
        <v>218715</v>
      </c>
    </row>
    <row r="444" spans="24:28">
      <c r="X444" s="30">
        <v>443</v>
      </c>
      <c r="Y444" s="31">
        <v>200640</v>
      </c>
      <c r="Z444" s="31">
        <v>20904</v>
      </c>
      <c r="AA444" s="31">
        <v>450</v>
      </c>
      <c r="AB444" s="31">
        <v>221994</v>
      </c>
    </row>
    <row r="445" spans="24:28">
      <c r="X445" s="30">
        <v>444</v>
      </c>
      <c r="Y445" s="31">
        <v>234730</v>
      </c>
      <c r="Z445" s="31">
        <v>6972</v>
      </c>
      <c r="AA445" s="31">
        <v>600</v>
      </c>
      <c r="AB445" s="31">
        <v>242302</v>
      </c>
    </row>
    <row r="446" spans="24:28">
      <c r="X446" s="30">
        <v>445</v>
      </c>
      <c r="Y446" s="31">
        <v>221225</v>
      </c>
      <c r="Z446" s="31">
        <v>11880</v>
      </c>
      <c r="AA446" s="31">
        <v>600</v>
      </c>
      <c r="AB446" s="31">
        <v>233705</v>
      </c>
    </row>
    <row r="447" spans="24:28">
      <c r="X447" s="30">
        <v>446</v>
      </c>
      <c r="Y447" s="31">
        <v>199445</v>
      </c>
      <c r="Z447" s="31">
        <v>6216</v>
      </c>
      <c r="AA447" s="31">
        <v>600</v>
      </c>
      <c r="AB447" s="31">
        <v>206261</v>
      </c>
    </row>
    <row r="448" spans="24:28">
      <c r="X448" s="30">
        <v>447</v>
      </c>
      <c r="Y448" s="31">
        <v>192240</v>
      </c>
      <c r="Z448" s="31">
        <v>11064</v>
      </c>
      <c r="AA448" s="31">
        <v>600</v>
      </c>
      <c r="AB448" s="31">
        <v>203904</v>
      </c>
    </row>
    <row r="449" spans="24:28">
      <c r="X449" s="30">
        <v>448</v>
      </c>
      <c r="Y449" s="31">
        <v>177435</v>
      </c>
      <c r="Z449" s="31">
        <v>13164</v>
      </c>
      <c r="AA449" s="31">
        <v>600</v>
      </c>
      <c r="AB449" s="31">
        <v>191199</v>
      </c>
    </row>
    <row r="450" spans="24:28">
      <c r="X450" s="30">
        <v>449</v>
      </c>
      <c r="Y450" s="31">
        <v>232805</v>
      </c>
      <c r="Z450" s="31">
        <v>5868</v>
      </c>
      <c r="AA450" s="31">
        <v>600</v>
      </c>
      <c r="AB450" s="31">
        <v>239273</v>
      </c>
    </row>
    <row r="451" spans="24:28">
      <c r="X451" s="30">
        <v>450</v>
      </c>
      <c r="Y451" s="31">
        <v>182240</v>
      </c>
      <c r="Z451" s="31">
        <v>13500</v>
      </c>
      <c r="AA451" s="31">
        <v>600</v>
      </c>
      <c r="AB451" s="31">
        <v>196340</v>
      </c>
    </row>
    <row r="452" spans="24:28">
      <c r="X452" s="30">
        <v>451</v>
      </c>
      <c r="Y452" s="31">
        <v>193940</v>
      </c>
      <c r="Z452" s="31">
        <v>9048</v>
      </c>
      <c r="AA452" s="31">
        <v>600</v>
      </c>
      <c r="AB452" s="31">
        <v>203588</v>
      </c>
    </row>
    <row r="453" spans="24:28">
      <c r="X453" s="30">
        <v>452</v>
      </c>
      <c r="Y453" s="31">
        <v>210810</v>
      </c>
      <c r="Z453" s="31">
        <v>9672</v>
      </c>
      <c r="AA453" s="31">
        <v>600</v>
      </c>
      <c r="AB453" s="31">
        <v>221082</v>
      </c>
    </row>
    <row r="454" spans="24:28">
      <c r="X454" s="30">
        <v>453</v>
      </c>
      <c r="Y454" s="31">
        <v>174410</v>
      </c>
      <c r="Z454" s="31">
        <v>5292</v>
      </c>
      <c r="AA454" s="31">
        <v>600</v>
      </c>
      <c r="AB454" s="31">
        <v>180302</v>
      </c>
    </row>
    <row r="455" spans="24:28">
      <c r="X455" s="30">
        <v>454</v>
      </c>
      <c r="Y455" s="31">
        <v>212285</v>
      </c>
      <c r="Z455" s="31">
        <v>8160</v>
      </c>
      <c r="AA455" s="31">
        <v>600</v>
      </c>
      <c r="AB455" s="31">
        <v>221045</v>
      </c>
    </row>
    <row r="456" spans="24:28">
      <c r="X456" s="30">
        <v>455</v>
      </c>
      <c r="Y456" s="31">
        <v>167865</v>
      </c>
      <c r="Z456" s="31">
        <v>23988</v>
      </c>
      <c r="AA456" s="31">
        <v>600</v>
      </c>
      <c r="AB456" s="31">
        <v>192453</v>
      </c>
    </row>
    <row r="457" spans="24:28">
      <c r="X457" s="30">
        <v>456</v>
      </c>
      <c r="Y457" s="31">
        <v>211380</v>
      </c>
      <c r="Z457" s="31">
        <v>0</v>
      </c>
      <c r="AA457" s="31">
        <v>600</v>
      </c>
      <c r="AB457" s="31">
        <v>211980</v>
      </c>
    </row>
    <row r="458" spans="24:28">
      <c r="X458" s="30">
        <v>457</v>
      </c>
      <c r="Y458" s="31">
        <v>224985</v>
      </c>
      <c r="Z458" s="31">
        <v>5676</v>
      </c>
      <c r="AA458" s="31">
        <v>600</v>
      </c>
      <c r="AB458" s="31">
        <v>231261</v>
      </c>
    </row>
    <row r="459" spans="24:28">
      <c r="X459" s="30">
        <v>458</v>
      </c>
      <c r="Y459" s="31">
        <v>182025</v>
      </c>
      <c r="Z459" s="31">
        <v>9216</v>
      </c>
      <c r="AA459" s="31">
        <v>600</v>
      </c>
      <c r="AB459" s="31">
        <v>191841</v>
      </c>
    </row>
    <row r="460" spans="24:28">
      <c r="X460" s="30">
        <v>459</v>
      </c>
      <c r="Y460" s="31">
        <v>147550</v>
      </c>
      <c r="Z460" s="31">
        <v>11172</v>
      </c>
      <c r="AA460" s="31">
        <v>600</v>
      </c>
      <c r="AB460" s="31">
        <v>159322</v>
      </c>
    </row>
    <row r="461" spans="24:28">
      <c r="X461" s="30">
        <v>460</v>
      </c>
      <c r="Y461" s="31">
        <v>184405</v>
      </c>
      <c r="Z461" s="31">
        <v>11196</v>
      </c>
      <c r="AA461" s="31">
        <v>600</v>
      </c>
      <c r="AB461" s="31">
        <v>196201</v>
      </c>
    </row>
    <row r="462" spans="24:28">
      <c r="X462" s="30">
        <v>461</v>
      </c>
      <c r="Y462" s="31">
        <v>186020</v>
      </c>
      <c r="Z462" s="31">
        <v>15240</v>
      </c>
      <c r="AA462" s="31">
        <v>600</v>
      </c>
      <c r="AB462" s="31">
        <v>201860</v>
      </c>
    </row>
    <row r="463" spans="24:28">
      <c r="X463" s="30">
        <v>462</v>
      </c>
      <c r="Y463" s="31">
        <v>168465</v>
      </c>
      <c r="Z463" s="31">
        <v>4524</v>
      </c>
      <c r="AA463" s="31">
        <v>600</v>
      </c>
      <c r="AB463" s="31">
        <v>173589</v>
      </c>
    </row>
    <row r="464" spans="24:28">
      <c r="X464" s="30">
        <v>463</v>
      </c>
      <c r="Y464" s="31">
        <v>139055</v>
      </c>
      <c r="Z464" s="31">
        <v>16188</v>
      </c>
      <c r="AA464" s="31">
        <v>600</v>
      </c>
      <c r="AB464" s="31">
        <v>155843</v>
      </c>
    </row>
    <row r="465" spans="24:28">
      <c r="X465" s="30">
        <v>464</v>
      </c>
      <c r="Y465" s="31">
        <v>203410</v>
      </c>
      <c r="Z465" s="31">
        <v>7800</v>
      </c>
      <c r="AA465" s="31">
        <v>600</v>
      </c>
      <c r="AB465" s="31">
        <v>211810</v>
      </c>
    </row>
    <row r="466" spans="24:28">
      <c r="X466" s="30">
        <v>465</v>
      </c>
      <c r="Y466" s="31">
        <v>161390</v>
      </c>
      <c r="Z466" s="31">
        <v>12648</v>
      </c>
      <c r="AA466" s="31">
        <v>600</v>
      </c>
      <c r="AB466" s="31">
        <v>174638</v>
      </c>
    </row>
    <row r="467" spans="24:28">
      <c r="X467" s="30">
        <v>466</v>
      </c>
      <c r="Y467" s="31">
        <v>152410</v>
      </c>
      <c r="Z467" s="31">
        <v>14760</v>
      </c>
      <c r="AA467" s="31">
        <v>600</v>
      </c>
      <c r="AB467" s="31">
        <v>167770</v>
      </c>
    </row>
    <row r="468" spans="24:28">
      <c r="X468" s="30">
        <v>467</v>
      </c>
      <c r="Y468" s="31">
        <v>124445</v>
      </c>
      <c r="Z468" s="31">
        <v>15672</v>
      </c>
      <c r="AA468" s="31">
        <v>600</v>
      </c>
      <c r="AB468" s="31">
        <v>140717</v>
      </c>
    </row>
    <row r="469" spans="24:28">
      <c r="X469" s="30">
        <v>468</v>
      </c>
      <c r="Y469" s="31">
        <v>178700</v>
      </c>
      <c r="Z469" s="31">
        <v>2760</v>
      </c>
      <c r="AA469" s="31">
        <v>600</v>
      </c>
      <c r="AB469" s="31">
        <v>182060</v>
      </c>
    </row>
    <row r="470" spans="24:28">
      <c r="X470" s="30">
        <v>469</v>
      </c>
      <c r="Y470" s="31">
        <v>204305</v>
      </c>
      <c r="Z470" s="31">
        <v>6528</v>
      </c>
      <c r="AA470" s="31">
        <v>600</v>
      </c>
      <c r="AB470" s="31">
        <v>211433</v>
      </c>
    </row>
    <row r="471" spans="24:28">
      <c r="X471" s="30">
        <v>470</v>
      </c>
      <c r="Y471" s="31">
        <v>208515</v>
      </c>
      <c r="Z471" s="31">
        <v>0</v>
      </c>
      <c r="AA471" s="31">
        <v>600</v>
      </c>
      <c r="AB471" s="31">
        <v>209115</v>
      </c>
    </row>
    <row r="472" spans="24:28">
      <c r="X472" s="30">
        <v>471</v>
      </c>
      <c r="Y472" s="31">
        <v>181365</v>
      </c>
      <c r="Z472" s="31">
        <v>13044</v>
      </c>
      <c r="AA472" s="31">
        <v>600</v>
      </c>
      <c r="AB472" s="31">
        <v>195009</v>
      </c>
    </row>
    <row r="473" spans="24:28">
      <c r="X473" s="30">
        <v>472</v>
      </c>
      <c r="Y473" s="31">
        <v>173445</v>
      </c>
      <c r="Z473" s="31">
        <v>9684</v>
      </c>
      <c r="AA473" s="31">
        <v>600</v>
      </c>
      <c r="AB473" s="31">
        <v>183729</v>
      </c>
    </row>
    <row r="474" spans="24:28">
      <c r="X474" s="30">
        <v>473</v>
      </c>
      <c r="Y474" s="31">
        <v>211025</v>
      </c>
      <c r="Z474" s="31">
        <v>3708</v>
      </c>
      <c r="AA474" s="31">
        <v>600</v>
      </c>
      <c r="AB474" s="31">
        <v>215333</v>
      </c>
    </row>
    <row r="475" spans="24:28">
      <c r="X475" s="30">
        <v>474</v>
      </c>
      <c r="Y475" s="31">
        <v>245870</v>
      </c>
      <c r="Z475" s="31">
        <v>8964</v>
      </c>
      <c r="AA475" s="31">
        <v>600</v>
      </c>
      <c r="AB475" s="31">
        <v>255434</v>
      </c>
    </row>
    <row r="476" spans="24:28">
      <c r="X476" s="30">
        <v>475</v>
      </c>
      <c r="Y476" s="31">
        <v>192350</v>
      </c>
      <c r="Z476" s="31">
        <v>11832</v>
      </c>
      <c r="AA476" s="31">
        <v>600</v>
      </c>
      <c r="AB476" s="31">
        <v>204782</v>
      </c>
    </row>
    <row r="477" spans="24:28">
      <c r="X477" s="30">
        <v>476</v>
      </c>
      <c r="Y477" s="31">
        <v>209515</v>
      </c>
      <c r="Z477" s="31">
        <v>17088</v>
      </c>
      <c r="AA477" s="31">
        <v>600</v>
      </c>
      <c r="AB477" s="31">
        <v>227203</v>
      </c>
    </row>
    <row r="478" spans="24:28">
      <c r="X478" s="30">
        <v>477</v>
      </c>
      <c r="Y478" s="31">
        <v>173380</v>
      </c>
      <c r="Z478" s="31">
        <v>9108</v>
      </c>
      <c r="AA478" s="31">
        <v>600</v>
      </c>
      <c r="AB478" s="31">
        <v>183088</v>
      </c>
    </row>
    <row r="479" spans="24:28">
      <c r="X479" s="30">
        <v>478</v>
      </c>
      <c r="Y479" s="31">
        <v>252535</v>
      </c>
      <c r="Z479" s="31">
        <v>1656</v>
      </c>
      <c r="AA479" s="31">
        <v>600</v>
      </c>
      <c r="AB479" s="31">
        <v>254791</v>
      </c>
    </row>
    <row r="480" spans="24:28">
      <c r="X480" s="30">
        <v>479</v>
      </c>
      <c r="Y480" s="31">
        <v>159350</v>
      </c>
      <c r="Z480" s="31">
        <v>4788</v>
      </c>
      <c r="AA480" s="31">
        <v>600</v>
      </c>
      <c r="AB480" s="31">
        <v>164738</v>
      </c>
    </row>
    <row r="481" spans="24:28">
      <c r="X481" s="30">
        <v>480</v>
      </c>
      <c r="Y481" s="31">
        <v>175165</v>
      </c>
      <c r="Z481" s="31">
        <v>6744</v>
      </c>
      <c r="AA481" s="31">
        <v>600</v>
      </c>
      <c r="AB481" s="31">
        <v>182509</v>
      </c>
    </row>
    <row r="482" spans="24:28">
      <c r="X482" s="30">
        <v>481</v>
      </c>
      <c r="Y482" s="31">
        <v>179030</v>
      </c>
      <c r="Z482" s="31">
        <v>21420</v>
      </c>
      <c r="AA482" s="31">
        <v>600</v>
      </c>
      <c r="AB482" s="31">
        <v>201050</v>
      </c>
    </row>
    <row r="483" spans="24:28">
      <c r="X483" s="30">
        <v>482</v>
      </c>
      <c r="Y483" s="31">
        <v>238050</v>
      </c>
      <c r="Z483" s="31">
        <v>5400</v>
      </c>
      <c r="AA483" s="31">
        <v>600</v>
      </c>
      <c r="AB483" s="31">
        <v>244050</v>
      </c>
    </row>
    <row r="484" spans="24:28">
      <c r="X484" s="30">
        <v>483</v>
      </c>
      <c r="Y484" s="31">
        <v>231020</v>
      </c>
      <c r="Z484" s="31">
        <v>10248</v>
      </c>
      <c r="AA484" s="31">
        <v>600</v>
      </c>
      <c r="AB484" s="31">
        <v>241868</v>
      </c>
    </row>
    <row r="485" spans="24:28">
      <c r="X485" s="30">
        <v>484</v>
      </c>
      <c r="Y485" s="31">
        <v>153890</v>
      </c>
      <c r="Z485" s="31">
        <v>11724</v>
      </c>
      <c r="AA485" s="31">
        <v>600</v>
      </c>
      <c r="AB485" s="31">
        <v>166214</v>
      </c>
    </row>
    <row r="486" spans="24:28">
      <c r="X486" s="30">
        <v>485</v>
      </c>
      <c r="Y486" s="31">
        <v>206340</v>
      </c>
      <c r="Z486" s="31">
        <v>8712</v>
      </c>
      <c r="AA486" s="31">
        <v>600</v>
      </c>
      <c r="AB486" s="31">
        <v>215652</v>
      </c>
    </row>
    <row r="487" spans="24:28">
      <c r="X487" s="30">
        <v>486</v>
      </c>
      <c r="Y487" s="31">
        <v>147280</v>
      </c>
      <c r="Z487" s="31">
        <v>14760</v>
      </c>
      <c r="AA487" s="31">
        <v>600</v>
      </c>
      <c r="AB487" s="31">
        <v>162640</v>
      </c>
    </row>
    <row r="488" spans="24:28">
      <c r="X488" s="30">
        <v>487</v>
      </c>
      <c r="Y488" s="31">
        <v>222970</v>
      </c>
      <c r="Z488" s="31">
        <v>8604</v>
      </c>
      <c r="AA488" s="31">
        <v>600</v>
      </c>
      <c r="AB488" s="31">
        <v>232174</v>
      </c>
    </row>
    <row r="489" spans="24:28">
      <c r="X489" s="30">
        <v>488</v>
      </c>
      <c r="Y489" s="31">
        <v>195940</v>
      </c>
      <c r="Z489" s="31">
        <v>3684</v>
      </c>
      <c r="AA489" s="31">
        <v>600</v>
      </c>
      <c r="AB489" s="31">
        <v>200224</v>
      </c>
    </row>
    <row r="490" spans="24:28">
      <c r="X490" s="30">
        <v>489</v>
      </c>
      <c r="Y490" s="31">
        <v>140245</v>
      </c>
      <c r="Z490" s="31">
        <v>16212</v>
      </c>
      <c r="AA490" s="31">
        <v>600</v>
      </c>
      <c r="AB490" s="31">
        <v>157057</v>
      </c>
    </row>
    <row r="491" spans="24:28">
      <c r="X491" s="30">
        <v>490</v>
      </c>
      <c r="Y491" s="31">
        <v>169595</v>
      </c>
      <c r="Z491" s="31">
        <v>17040</v>
      </c>
      <c r="AA491" s="31">
        <v>600</v>
      </c>
      <c r="AB491" s="31">
        <v>187235</v>
      </c>
    </row>
    <row r="492" spans="24:28">
      <c r="X492" s="30">
        <v>491</v>
      </c>
      <c r="Y492" s="31">
        <v>158235</v>
      </c>
      <c r="Z492" s="31">
        <v>19548</v>
      </c>
      <c r="AA492" s="31">
        <v>600</v>
      </c>
      <c r="AB492" s="31">
        <v>178383</v>
      </c>
    </row>
    <row r="493" spans="24:28">
      <c r="X493" s="30">
        <v>492</v>
      </c>
      <c r="Y493" s="31">
        <v>210550</v>
      </c>
      <c r="Z493" s="31">
        <v>3552</v>
      </c>
      <c r="AA493" s="31">
        <v>600</v>
      </c>
      <c r="AB493" s="31">
        <v>214702</v>
      </c>
    </row>
    <row r="494" spans="24:28">
      <c r="X494" s="30">
        <v>493</v>
      </c>
      <c r="Y494" s="31">
        <v>158540</v>
      </c>
      <c r="Z494" s="31">
        <v>4356</v>
      </c>
      <c r="AA494" s="31">
        <v>600</v>
      </c>
      <c r="AB494" s="31">
        <v>163496</v>
      </c>
    </row>
    <row r="495" spans="24:28">
      <c r="X495" s="30">
        <v>494</v>
      </c>
      <c r="Y495" s="31">
        <v>217265</v>
      </c>
      <c r="Z495" s="31">
        <v>8964</v>
      </c>
      <c r="AA495" s="31">
        <v>600</v>
      </c>
      <c r="AB495" s="31">
        <v>226829</v>
      </c>
    </row>
    <row r="496" spans="24:28">
      <c r="X496" s="30">
        <v>495</v>
      </c>
      <c r="Y496" s="31">
        <v>164315</v>
      </c>
      <c r="Z496" s="31">
        <v>2832</v>
      </c>
      <c r="AA496" s="31">
        <v>600</v>
      </c>
      <c r="AB496" s="31">
        <v>167747</v>
      </c>
    </row>
    <row r="497" spans="24:28">
      <c r="X497" s="30">
        <v>496</v>
      </c>
      <c r="Y497" s="31">
        <v>185055</v>
      </c>
      <c r="Z497" s="31">
        <v>15420</v>
      </c>
      <c r="AA497" s="31">
        <v>600</v>
      </c>
      <c r="AB497" s="31">
        <v>201075</v>
      </c>
    </row>
    <row r="498" spans="24:28">
      <c r="X498" s="30">
        <v>497</v>
      </c>
      <c r="Y498" s="31">
        <v>194420</v>
      </c>
      <c r="Z498" s="31">
        <v>14004</v>
      </c>
      <c r="AA498" s="31">
        <v>600</v>
      </c>
      <c r="AB498" s="31">
        <v>209024</v>
      </c>
    </row>
    <row r="499" spans="24:28">
      <c r="X499" s="30">
        <v>498</v>
      </c>
      <c r="Y499" s="31">
        <v>229585</v>
      </c>
      <c r="Z499" s="31">
        <v>6108</v>
      </c>
      <c r="AA499" s="31">
        <v>600</v>
      </c>
      <c r="AB499" s="31">
        <v>236293</v>
      </c>
    </row>
    <row r="500" spans="24:28">
      <c r="X500" s="30">
        <v>499</v>
      </c>
      <c r="Y500" s="31">
        <v>223105</v>
      </c>
      <c r="Z500" s="31">
        <v>13524</v>
      </c>
      <c r="AA500" s="31">
        <v>600</v>
      </c>
      <c r="AB500" s="31">
        <v>237229</v>
      </c>
    </row>
    <row r="501" spans="24:28">
      <c r="X501" s="30">
        <v>500</v>
      </c>
      <c r="Y501" s="31">
        <v>176315</v>
      </c>
      <c r="Z501" s="31">
        <v>8064</v>
      </c>
      <c r="AA501" s="31">
        <v>600</v>
      </c>
      <c r="AB501" s="31">
        <v>184979</v>
      </c>
    </row>
  </sheetData>
  <mergeCells count="12">
    <mergeCell ref="T24:U24"/>
    <mergeCell ref="A1:P1"/>
    <mergeCell ref="T7:U7"/>
    <mergeCell ref="T8:U8"/>
    <mergeCell ref="T10:U10"/>
    <mergeCell ref="T11:U11"/>
    <mergeCell ref="T13:U13"/>
    <mergeCell ref="T14:U14"/>
    <mergeCell ref="T15:U15"/>
    <mergeCell ref="T16:U16"/>
    <mergeCell ref="T18:U18"/>
    <mergeCell ref="T21:U2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F96F-AFB4-44AA-BDEE-5EEA2F2E3D9A}">
  <dimension ref="A1:R49"/>
  <sheetViews>
    <sheetView tabSelected="1" zoomScale="68" workbookViewId="0">
      <selection activeCell="G17" sqref="G17"/>
    </sheetView>
  </sheetViews>
  <sheetFormatPr defaultRowHeight="14.4"/>
  <cols>
    <col min="1" max="1" width="25.44140625" customWidth="1"/>
    <col min="2" max="2" width="17.77734375" customWidth="1"/>
    <col min="3" max="3" width="19.88671875" customWidth="1"/>
    <col min="4" max="4" width="21.44140625" customWidth="1"/>
    <col min="5" max="5" width="18.6640625" customWidth="1"/>
    <col min="6" max="6" width="15.88671875" customWidth="1"/>
    <col min="7" max="8" width="14.5546875" customWidth="1"/>
    <col min="9" max="9" width="19" customWidth="1"/>
    <col min="10" max="10" width="22.33203125" customWidth="1"/>
    <col min="11" max="11" width="14" customWidth="1"/>
    <col min="12" max="12" width="12.5546875" customWidth="1"/>
    <col min="13" max="13" width="11.44140625" customWidth="1"/>
    <col min="14" max="14" width="15.5546875" customWidth="1"/>
    <col min="15" max="15" width="13.77734375" customWidth="1"/>
    <col min="16" max="16" width="14.21875" customWidth="1"/>
    <col min="17" max="17" width="15" customWidth="1"/>
    <col min="18" max="18" width="12.77734375" customWidth="1"/>
  </cols>
  <sheetData>
    <row r="1" spans="1:18" ht="24">
      <c r="A1" s="34" t="s">
        <v>1295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8" ht="17.399999999999999">
      <c r="A2" s="36"/>
      <c r="B2" s="37"/>
      <c r="C2" s="37"/>
      <c r="D2" s="37"/>
      <c r="E2" s="37"/>
      <c r="F2" s="37"/>
      <c r="G2" s="37"/>
      <c r="H2" s="37"/>
      <c r="I2" s="37"/>
      <c r="J2" s="36"/>
      <c r="K2" s="37"/>
      <c r="L2" s="37"/>
      <c r="M2" s="37"/>
      <c r="N2" s="37"/>
      <c r="O2" s="37"/>
      <c r="P2" s="37"/>
      <c r="Q2" s="37"/>
    </row>
    <row r="3" spans="1:18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spans="1:18" ht="17.399999999999999">
      <c r="A4" s="38"/>
      <c r="B4" s="69" t="s">
        <v>1320</v>
      </c>
      <c r="C4" s="69"/>
      <c r="D4" s="69"/>
      <c r="E4" s="69"/>
      <c r="F4" s="69"/>
      <c r="G4" s="69"/>
      <c r="H4" s="39"/>
      <c r="I4" s="38"/>
      <c r="J4" s="38"/>
      <c r="K4" s="70" t="s">
        <v>4</v>
      </c>
      <c r="L4" s="70"/>
      <c r="M4" s="70"/>
      <c r="N4" s="70"/>
      <c r="O4" s="70"/>
      <c r="P4" s="70"/>
      <c r="Q4" s="38"/>
    </row>
    <row r="5" spans="1:18" ht="17.399999999999999">
      <c r="A5" s="38"/>
      <c r="B5" s="40">
        <v>1</v>
      </c>
      <c r="C5" s="40">
        <v>2</v>
      </c>
      <c r="D5" s="40">
        <v>3</v>
      </c>
      <c r="E5" s="40">
        <v>4</v>
      </c>
      <c r="F5" s="40">
        <v>5</v>
      </c>
      <c r="G5" s="40">
        <v>6</v>
      </c>
      <c r="H5" s="40">
        <v>7</v>
      </c>
      <c r="I5" s="38"/>
      <c r="J5" s="38"/>
      <c r="K5" s="40">
        <v>1</v>
      </c>
      <c r="L5" s="40">
        <v>2</v>
      </c>
      <c r="M5" s="40">
        <v>3</v>
      </c>
      <c r="N5" s="40">
        <v>4</v>
      </c>
      <c r="O5" s="40">
        <v>5</v>
      </c>
      <c r="P5" s="40">
        <v>6</v>
      </c>
      <c r="Q5" s="41">
        <v>7</v>
      </c>
      <c r="R5" t="s">
        <v>1258</v>
      </c>
    </row>
    <row r="6" spans="1:18" ht="17.399999999999999">
      <c r="A6" s="42" t="s">
        <v>1294</v>
      </c>
      <c r="B6" s="40">
        <v>160</v>
      </c>
      <c r="C6" s="40">
        <v>150</v>
      </c>
      <c r="D6" s="40">
        <v>160</v>
      </c>
      <c r="E6" s="40">
        <v>180</v>
      </c>
      <c r="F6" s="40">
        <v>170</v>
      </c>
      <c r="G6" s="40">
        <v>140</v>
      </c>
      <c r="H6" s="40">
        <v>190</v>
      </c>
      <c r="I6" s="38"/>
      <c r="J6" s="43" t="s">
        <v>1260</v>
      </c>
      <c r="K6" s="38">
        <f>B6</f>
        <v>160</v>
      </c>
      <c r="L6" s="38">
        <f t="shared" ref="L6:Q6" si="0">C6</f>
        <v>150</v>
      </c>
      <c r="M6" s="38">
        <f t="shared" si="0"/>
        <v>160</v>
      </c>
      <c r="N6" s="38">
        <f t="shared" si="0"/>
        <v>180</v>
      </c>
      <c r="O6" s="38">
        <f t="shared" si="0"/>
        <v>170</v>
      </c>
      <c r="P6" s="38">
        <f t="shared" si="0"/>
        <v>140</v>
      </c>
      <c r="Q6" s="38">
        <f t="shared" si="0"/>
        <v>190</v>
      </c>
      <c r="R6">
        <f>SUM(K6:Q6)</f>
        <v>1150</v>
      </c>
    </row>
    <row r="7" spans="1:18" ht="17.399999999999999">
      <c r="A7" s="42" t="s">
        <v>1296</v>
      </c>
      <c r="B7" s="38"/>
      <c r="C7" s="38"/>
      <c r="D7" s="38"/>
      <c r="E7" s="38"/>
      <c r="F7" s="38"/>
      <c r="G7" s="38"/>
      <c r="H7" s="38"/>
      <c r="I7" s="38"/>
      <c r="J7" s="42" t="s">
        <v>1297</v>
      </c>
      <c r="K7" s="38"/>
      <c r="L7" s="38"/>
      <c r="M7" s="38"/>
      <c r="N7" s="38"/>
      <c r="O7" s="38"/>
      <c r="P7" s="38"/>
      <c r="Q7" s="38"/>
    </row>
    <row r="8" spans="1:18" ht="17.399999999999999">
      <c r="A8" s="44" t="s">
        <v>1298</v>
      </c>
      <c r="B8" s="40">
        <v>150</v>
      </c>
      <c r="C8" s="40">
        <v>150</v>
      </c>
      <c r="D8" s="40">
        <v>150</v>
      </c>
      <c r="E8" s="40">
        <v>150</v>
      </c>
      <c r="F8" s="40">
        <v>160</v>
      </c>
      <c r="G8" s="40">
        <v>160</v>
      </c>
      <c r="H8" s="40">
        <v>160</v>
      </c>
      <c r="I8" s="38"/>
      <c r="J8" s="45" t="s">
        <v>1299</v>
      </c>
      <c r="K8" s="40">
        <f>B8</f>
        <v>150</v>
      </c>
      <c r="L8" s="40">
        <f t="shared" ref="L8:Q8" si="1">C8</f>
        <v>150</v>
      </c>
      <c r="M8" s="40">
        <f t="shared" si="1"/>
        <v>150</v>
      </c>
      <c r="N8" s="40">
        <f t="shared" si="1"/>
        <v>150</v>
      </c>
      <c r="O8" s="40">
        <f t="shared" si="1"/>
        <v>160</v>
      </c>
      <c r="P8" s="40">
        <f t="shared" si="1"/>
        <v>160</v>
      </c>
      <c r="Q8" s="40">
        <f t="shared" si="1"/>
        <v>160</v>
      </c>
      <c r="R8">
        <f>SUM(K8:Q8)</f>
        <v>1080</v>
      </c>
    </row>
    <row r="9" spans="1:18" ht="17.399999999999999">
      <c r="A9" s="44" t="s">
        <v>1300</v>
      </c>
      <c r="B9" s="40">
        <v>10</v>
      </c>
      <c r="C9" s="40">
        <v>20</v>
      </c>
      <c r="D9" s="40">
        <v>0</v>
      </c>
      <c r="E9" s="40">
        <v>10</v>
      </c>
      <c r="F9" s="40">
        <v>10</v>
      </c>
      <c r="G9" s="40">
        <v>20</v>
      </c>
      <c r="H9" s="40">
        <v>20</v>
      </c>
      <c r="I9" s="38"/>
      <c r="J9" s="45" t="s">
        <v>1300</v>
      </c>
      <c r="K9" s="38">
        <v>10</v>
      </c>
      <c r="L9" s="38">
        <v>20</v>
      </c>
      <c r="M9" s="38">
        <v>0</v>
      </c>
      <c r="N9" s="38">
        <v>10</v>
      </c>
      <c r="O9" s="38">
        <v>10</v>
      </c>
      <c r="P9" s="38">
        <v>20</v>
      </c>
      <c r="Q9" s="38">
        <v>20</v>
      </c>
      <c r="R9">
        <f>SUM(K9:Q9)</f>
        <v>90</v>
      </c>
    </row>
    <row r="10" spans="1:18" ht="17.399999999999999">
      <c r="A10" s="38"/>
      <c r="B10" s="38"/>
      <c r="C10" s="38"/>
      <c r="D10" s="38"/>
      <c r="E10" s="38"/>
      <c r="F10" s="38"/>
      <c r="G10" s="38"/>
      <c r="H10" s="38"/>
      <c r="I10" s="38"/>
      <c r="J10" s="45" t="s">
        <v>1301</v>
      </c>
      <c r="K10" s="38">
        <v>0</v>
      </c>
      <c r="L10" s="38">
        <v>20</v>
      </c>
      <c r="M10" s="38">
        <v>20</v>
      </c>
      <c r="N10" s="38">
        <v>0</v>
      </c>
      <c r="O10" s="38">
        <v>10</v>
      </c>
      <c r="P10" s="38">
        <v>0</v>
      </c>
      <c r="Q10" s="38">
        <v>20</v>
      </c>
      <c r="R10">
        <f>SUM(K10:Q10)</f>
        <v>70</v>
      </c>
    </row>
    <row r="11" spans="1:18" ht="17.399999999999999">
      <c r="A11" s="38"/>
      <c r="B11" s="44" t="s">
        <v>1302</v>
      </c>
      <c r="C11" s="38"/>
      <c r="D11" s="38"/>
      <c r="E11" s="38"/>
      <c r="F11" s="38"/>
      <c r="G11" s="38"/>
      <c r="H11" s="38"/>
      <c r="I11" s="38"/>
      <c r="J11" s="45" t="s">
        <v>1303</v>
      </c>
      <c r="K11" s="38">
        <f>SUM(K8:K10)-K6</f>
        <v>0</v>
      </c>
      <c r="L11" s="38">
        <f t="shared" ref="L11:Q11" si="2">SUM(L8:L10)-L6</f>
        <v>40</v>
      </c>
      <c r="M11" s="38">
        <v>0</v>
      </c>
      <c r="N11" s="38">
        <f t="shared" si="2"/>
        <v>-20</v>
      </c>
      <c r="O11" s="38">
        <f t="shared" si="2"/>
        <v>10</v>
      </c>
      <c r="P11" s="38">
        <f t="shared" si="2"/>
        <v>40</v>
      </c>
      <c r="Q11" s="38">
        <f t="shared" si="2"/>
        <v>10</v>
      </c>
      <c r="R11">
        <f>SUM(K11:Q11)</f>
        <v>80</v>
      </c>
    </row>
    <row r="12" spans="1:18" ht="17.399999999999999">
      <c r="A12" s="42" t="s">
        <v>1299</v>
      </c>
      <c r="B12" s="46">
        <v>20</v>
      </c>
      <c r="C12" s="38"/>
      <c r="D12" s="38"/>
      <c r="E12" s="38"/>
      <c r="F12" s="38"/>
      <c r="G12" s="38"/>
      <c r="H12" s="38"/>
      <c r="I12" s="38"/>
      <c r="J12" s="42" t="s">
        <v>1304</v>
      </c>
      <c r="K12" s="38"/>
      <c r="L12" s="38"/>
      <c r="M12" s="38"/>
      <c r="N12" s="38"/>
      <c r="O12" s="38"/>
      <c r="P12" s="38"/>
      <c r="Q12" s="38"/>
    </row>
    <row r="13" spans="1:18" ht="17.399999999999999">
      <c r="A13" s="42" t="s">
        <v>1300</v>
      </c>
      <c r="B13" s="46">
        <v>20</v>
      </c>
      <c r="C13" s="38"/>
      <c r="D13" s="38"/>
      <c r="E13" s="38"/>
      <c r="F13" s="38"/>
      <c r="G13" s="38"/>
      <c r="H13" s="38"/>
      <c r="I13" s="38"/>
      <c r="J13" s="45" t="s">
        <v>1305</v>
      </c>
      <c r="K13" s="38">
        <v>0</v>
      </c>
      <c r="L13" s="38">
        <v>0</v>
      </c>
      <c r="M13" s="38">
        <f>L14</f>
        <v>40</v>
      </c>
      <c r="N13" s="38">
        <f t="shared" ref="N13:Q13" si="3">M14</f>
        <v>40</v>
      </c>
      <c r="O13" s="38">
        <f t="shared" si="3"/>
        <v>20</v>
      </c>
      <c r="P13" s="38">
        <f t="shared" si="3"/>
        <v>30</v>
      </c>
      <c r="Q13" s="38">
        <f t="shared" si="3"/>
        <v>70</v>
      </c>
      <c r="R13">
        <f>SUM(K13:Q13)</f>
        <v>200</v>
      </c>
    </row>
    <row r="14" spans="1:18" ht="17.399999999999999">
      <c r="A14" s="42" t="s">
        <v>1301</v>
      </c>
      <c r="B14" s="46">
        <v>35</v>
      </c>
      <c r="C14" s="38"/>
      <c r="D14" s="38"/>
      <c r="E14" s="38"/>
      <c r="F14" s="38"/>
      <c r="G14" s="38"/>
      <c r="H14" s="38"/>
      <c r="I14" s="38"/>
      <c r="J14" s="45" t="s">
        <v>1306</v>
      </c>
      <c r="K14" s="38">
        <f>K11</f>
        <v>0</v>
      </c>
      <c r="L14" s="38">
        <f>L11</f>
        <v>40</v>
      </c>
      <c r="M14" s="38">
        <f>M13+M11</f>
        <v>40</v>
      </c>
      <c r="N14" s="38">
        <f t="shared" ref="N14:Q14" si="4">N13+N11</f>
        <v>20</v>
      </c>
      <c r="O14" s="38">
        <f t="shared" si="4"/>
        <v>30</v>
      </c>
      <c r="P14" s="38">
        <f t="shared" si="4"/>
        <v>70</v>
      </c>
      <c r="Q14" s="38">
        <f t="shared" si="4"/>
        <v>80</v>
      </c>
      <c r="R14">
        <f>SUM(K14:Q14)</f>
        <v>280</v>
      </c>
    </row>
    <row r="15" spans="1:18" ht="17.399999999999999">
      <c r="A15" s="42" t="s">
        <v>1307</v>
      </c>
      <c r="B15" s="46">
        <v>4</v>
      </c>
      <c r="C15" s="38"/>
      <c r="D15" s="38"/>
      <c r="E15" s="38"/>
      <c r="F15" s="38"/>
      <c r="G15" s="38"/>
      <c r="H15" s="38"/>
      <c r="I15" s="38"/>
      <c r="J15" s="45" t="s">
        <v>1308</v>
      </c>
      <c r="K15" s="38">
        <f>AVERAGE(K13:K14)</f>
        <v>0</v>
      </c>
      <c r="L15" s="38">
        <f t="shared" ref="L15:Q15" si="5">AVERAGE(L13:L14)</f>
        <v>20</v>
      </c>
      <c r="M15" s="38">
        <f t="shared" si="5"/>
        <v>40</v>
      </c>
      <c r="N15" s="38">
        <f t="shared" si="5"/>
        <v>30</v>
      </c>
      <c r="O15" s="38">
        <f t="shared" si="5"/>
        <v>25</v>
      </c>
      <c r="P15" s="38">
        <f t="shared" si="5"/>
        <v>50</v>
      </c>
      <c r="Q15" s="38">
        <f t="shared" si="5"/>
        <v>75</v>
      </c>
      <c r="R15">
        <f t="shared" ref="R15:R22" si="6">SUM(K15:Q15)</f>
        <v>240</v>
      </c>
    </row>
    <row r="16" spans="1:18" ht="17.399999999999999">
      <c r="A16" s="42" t="s">
        <v>1309</v>
      </c>
      <c r="B16" s="46">
        <v>6</v>
      </c>
      <c r="C16" s="38"/>
      <c r="D16" s="38"/>
      <c r="E16" s="38"/>
      <c r="F16" s="38"/>
      <c r="G16" s="38"/>
      <c r="H16" s="38"/>
      <c r="I16" s="38"/>
      <c r="J16" s="45" t="s">
        <v>1309</v>
      </c>
      <c r="K16" s="38">
        <v>0</v>
      </c>
      <c r="L16" s="38">
        <f>IF(L14&lt;0,-L14,0)</f>
        <v>0</v>
      </c>
      <c r="M16" s="38">
        <f t="shared" ref="M16:Q16" si="7">IF(M14&lt;0,-M14,0)</f>
        <v>0</v>
      </c>
      <c r="N16" s="38">
        <f t="shared" si="7"/>
        <v>0</v>
      </c>
      <c r="O16" s="38">
        <f t="shared" si="7"/>
        <v>0</v>
      </c>
      <c r="P16" s="38">
        <f t="shared" si="7"/>
        <v>0</v>
      </c>
      <c r="Q16" s="38">
        <f t="shared" si="7"/>
        <v>0</v>
      </c>
      <c r="R16">
        <f t="shared" si="6"/>
        <v>0</v>
      </c>
    </row>
    <row r="17" spans="1:18" ht="17.399999999999999">
      <c r="A17" s="38"/>
      <c r="B17" s="38"/>
      <c r="C17" s="38"/>
      <c r="D17" s="38"/>
      <c r="E17" s="38"/>
      <c r="F17" s="38"/>
      <c r="G17" s="38"/>
      <c r="H17" s="38"/>
      <c r="I17" s="38"/>
      <c r="J17" s="42" t="s">
        <v>1310</v>
      </c>
      <c r="K17" s="38"/>
      <c r="L17" s="38"/>
      <c r="M17" s="38"/>
      <c r="N17" s="38"/>
      <c r="O17" s="38"/>
      <c r="P17" s="38"/>
      <c r="Q17" s="38"/>
    </row>
    <row r="18" spans="1:18" ht="17.399999999999999">
      <c r="A18" s="42" t="s">
        <v>1311</v>
      </c>
      <c r="B18" s="38"/>
      <c r="C18" s="38"/>
      <c r="D18" s="38"/>
      <c r="E18" s="38"/>
      <c r="F18" s="38"/>
      <c r="G18" s="38"/>
      <c r="H18" s="38"/>
      <c r="I18" s="38"/>
      <c r="J18" s="45" t="s">
        <v>1299</v>
      </c>
      <c r="K18" s="48">
        <f>K8*B12</f>
        <v>3000</v>
      </c>
      <c r="L18" s="48">
        <f t="shared" ref="L18:Q18" si="8">L8*C12</f>
        <v>0</v>
      </c>
      <c r="M18" s="48">
        <f t="shared" si="8"/>
        <v>0</v>
      </c>
      <c r="N18" s="48">
        <f t="shared" si="8"/>
        <v>0</v>
      </c>
      <c r="O18" s="48">
        <f t="shared" si="8"/>
        <v>0</v>
      </c>
      <c r="P18" s="48">
        <f t="shared" si="8"/>
        <v>0</v>
      </c>
      <c r="Q18" s="48">
        <f t="shared" si="8"/>
        <v>0</v>
      </c>
      <c r="R18" s="49">
        <f t="shared" si="6"/>
        <v>3000</v>
      </c>
    </row>
    <row r="19" spans="1:18" ht="17.399999999999999">
      <c r="A19" s="42" t="s">
        <v>1312</v>
      </c>
      <c r="B19" s="43" t="s">
        <v>1313</v>
      </c>
      <c r="C19" s="45">
        <v>20</v>
      </c>
      <c r="D19" s="43" t="s">
        <v>1321</v>
      </c>
      <c r="E19" s="38"/>
      <c r="F19" s="38"/>
      <c r="G19" s="38"/>
      <c r="H19" s="38"/>
      <c r="I19" s="38"/>
      <c r="J19" s="45" t="s">
        <v>1300</v>
      </c>
      <c r="K19" s="48">
        <f>K9*B13</f>
        <v>200</v>
      </c>
      <c r="L19" s="48">
        <f t="shared" ref="L19:Q19" si="9">L9*C13</f>
        <v>0</v>
      </c>
      <c r="M19" s="48">
        <f t="shared" si="9"/>
        <v>0</v>
      </c>
      <c r="N19" s="48">
        <f t="shared" si="9"/>
        <v>0</v>
      </c>
      <c r="O19" s="48">
        <f t="shared" si="9"/>
        <v>0</v>
      </c>
      <c r="P19" s="48">
        <f t="shared" si="9"/>
        <v>0</v>
      </c>
      <c r="Q19" s="48">
        <f t="shared" si="9"/>
        <v>0</v>
      </c>
      <c r="R19" s="49">
        <f t="shared" si="6"/>
        <v>200</v>
      </c>
    </row>
    <row r="20" spans="1:18" ht="17.399999999999999">
      <c r="A20" s="42" t="s">
        <v>1314</v>
      </c>
      <c r="B20" s="43" t="s">
        <v>1315</v>
      </c>
      <c r="C20" s="45">
        <v>0</v>
      </c>
      <c r="D20" s="43" t="s">
        <v>1316</v>
      </c>
      <c r="E20" s="38"/>
      <c r="F20" s="38"/>
      <c r="G20" s="38"/>
      <c r="H20" s="38"/>
      <c r="I20" s="38"/>
      <c r="J20" s="45" t="s">
        <v>1317</v>
      </c>
      <c r="K20" s="48">
        <f>K10*B14</f>
        <v>0</v>
      </c>
      <c r="L20" s="48">
        <f t="shared" ref="L20:Q20" si="10">L10*C14</f>
        <v>0</v>
      </c>
      <c r="M20" s="48">
        <f t="shared" si="10"/>
        <v>0</v>
      </c>
      <c r="N20" s="48">
        <f t="shared" si="10"/>
        <v>0</v>
      </c>
      <c r="O20" s="48">
        <f t="shared" si="10"/>
        <v>0</v>
      </c>
      <c r="P20" s="48">
        <f t="shared" si="10"/>
        <v>0</v>
      </c>
      <c r="Q20" s="48">
        <f t="shared" si="10"/>
        <v>0</v>
      </c>
      <c r="R20" s="49">
        <f t="shared" si="6"/>
        <v>0</v>
      </c>
    </row>
    <row r="21" spans="1:18" ht="17.399999999999999">
      <c r="A21" s="42" t="s">
        <v>1318</v>
      </c>
      <c r="B21" s="43" t="s">
        <v>1315</v>
      </c>
      <c r="C21" s="45">
        <v>0</v>
      </c>
      <c r="D21" s="43" t="s">
        <v>1316</v>
      </c>
      <c r="E21" s="38"/>
      <c r="F21" s="38"/>
      <c r="G21" s="38"/>
      <c r="H21" s="38"/>
      <c r="I21" s="38"/>
      <c r="J21" s="45" t="s">
        <v>1304</v>
      </c>
      <c r="K21" s="48">
        <f>K15*B15</f>
        <v>0</v>
      </c>
      <c r="L21" s="48">
        <f t="shared" ref="L21:Q21" si="11">L15*C15</f>
        <v>0</v>
      </c>
      <c r="M21" s="48">
        <f t="shared" si="11"/>
        <v>0</v>
      </c>
      <c r="N21" s="48">
        <f t="shared" si="11"/>
        <v>0</v>
      </c>
      <c r="O21" s="48">
        <f t="shared" si="11"/>
        <v>0</v>
      </c>
      <c r="P21" s="48">
        <f t="shared" si="11"/>
        <v>0</v>
      </c>
      <c r="Q21" s="48">
        <f t="shared" si="11"/>
        <v>0</v>
      </c>
      <c r="R21" s="49">
        <f t="shared" si="6"/>
        <v>0</v>
      </c>
    </row>
    <row r="22" spans="1:18" ht="17.399999999999999">
      <c r="A22" s="38"/>
      <c r="B22" s="38"/>
      <c r="C22" s="38"/>
      <c r="D22" s="38"/>
      <c r="E22" s="38"/>
      <c r="F22" s="38"/>
      <c r="G22" s="38"/>
      <c r="H22" s="38"/>
      <c r="I22" s="38"/>
      <c r="J22" s="45" t="s">
        <v>1309</v>
      </c>
      <c r="K22" s="48">
        <f>K16*B16</f>
        <v>0</v>
      </c>
      <c r="L22" s="48">
        <f t="shared" ref="L22:Q22" si="12">L16*C16</f>
        <v>0</v>
      </c>
      <c r="M22" s="48">
        <f t="shared" si="12"/>
        <v>0</v>
      </c>
      <c r="N22" s="48">
        <f t="shared" si="12"/>
        <v>0</v>
      </c>
      <c r="O22" s="48">
        <f t="shared" si="12"/>
        <v>0</v>
      </c>
      <c r="P22" s="48">
        <f t="shared" si="12"/>
        <v>0</v>
      </c>
      <c r="Q22" s="48">
        <f t="shared" si="12"/>
        <v>0</v>
      </c>
      <c r="R22" s="49">
        <f t="shared" si="6"/>
        <v>0</v>
      </c>
    </row>
    <row r="23" spans="1:18" ht="17.399999999999999">
      <c r="A23" s="38"/>
      <c r="B23" s="38"/>
      <c r="C23" s="38"/>
      <c r="D23" s="38"/>
      <c r="E23" s="38"/>
      <c r="F23" s="38"/>
      <c r="G23" s="38"/>
      <c r="H23" s="38"/>
      <c r="I23" s="38"/>
      <c r="J23" s="42" t="s">
        <v>1258</v>
      </c>
      <c r="K23" s="48">
        <f>SUM(K18:K22)</f>
        <v>3200</v>
      </c>
      <c r="L23" s="48">
        <f t="shared" ref="L23:R23" si="13">SUM(L18:L22)</f>
        <v>0</v>
      </c>
      <c r="M23" s="48">
        <f t="shared" si="13"/>
        <v>0</v>
      </c>
      <c r="N23" s="48">
        <f t="shared" si="13"/>
        <v>0</v>
      </c>
      <c r="O23" s="48">
        <f t="shared" si="13"/>
        <v>0</v>
      </c>
      <c r="P23" s="48">
        <f t="shared" si="13"/>
        <v>0</v>
      </c>
      <c r="Q23" s="48">
        <f t="shared" si="13"/>
        <v>0</v>
      </c>
      <c r="R23" s="48">
        <f t="shared" si="13"/>
        <v>3200</v>
      </c>
    </row>
    <row r="24" spans="1:18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</row>
    <row r="25" spans="1:18" ht="17.399999999999999">
      <c r="A25" s="38"/>
      <c r="B25" s="38"/>
      <c r="C25" s="38"/>
      <c r="D25" s="38"/>
      <c r="E25" s="38"/>
      <c r="F25" s="38"/>
      <c r="G25" s="38"/>
      <c r="H25" s="38"/>
      <c r="I25" s="38"/>
      <c r="J25" s="47" t="s">
        <v>1319</v>
      </c>
      <c r="K25" s="48">
        <f>R23</f>
        <v>3200</v>
      </c>
      <c r="L25" s="38"/>
      <c r="M25" s="38"/>
      <c r="N25" s="38"/>
      <c r="O25" s="38"/>
      <c r="P25" s="38"/>
      <c r="Q25" s="38"/>
    </row>
    <row r="26" spans="1:18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</row>
    <row r="27" spans="1:18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</row>
    <row r="28" spans="1:1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</row>
    <row r="29" spans="1:18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</row>
    <row r="30" spans="1:18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18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2" spans="1:18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</row>
    <row r="33" spans="1:17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  <row r="34" spans="1:17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</row>
    <row r="35" spans="1:17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</row>
    <row r="36" spans="1:17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 spans="1:1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</row>
    <row r="38" spans="1:17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</row>
    <row r="39" spans="1:17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</row>
    <row r="40" spans="1:17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</row>
    <row r="41" spans="1:17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17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</row>
    <row r="43" spans="1:17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</row>
    <row r="44" spans="1:17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</row>
    <row r="45" spans="1:17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</row>
    <row r="46" spans="1:17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</row>
    <row r="47" spans="1:1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spans="1:17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49" spans="1:17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</row>
  </sheetData>
  <mergeCells count="2">
    <mergeCell ref="B4:G4"/>
    <mergeCell ref="K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Demand_2022</vt:lpstr>
      <vt:lpstr>Demand_2023</vt:lpstr>
      <vt:lpstr>Demand_2024</vt:lpstr>
      <vt:lpstr>Data Analysis</vt:lpstr>
      <vt:lpstr>Parameters &amp; Assumptions</vt:lpstr>
      <vt:lpstr>Inventory Management</vt:lpstr>
      <vt:lpstr>Resource 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Vishnu Vardhan Reddy Aalla</cp:lastModifiedBy>
  <cp:revision>0</cp:revision>
  <dcterms:created xsi:type="dcterms:W3CDTF">2026-02-26T18:29:59Z</dcterms:created>
  <dcterms:modified xsi:type="dcterms:W3CDTF">2026-02-27T20:11:09Z</dcterms:modified>
  <dc:language>en-US</dc:language>
</cp:coreProperties>
</file>